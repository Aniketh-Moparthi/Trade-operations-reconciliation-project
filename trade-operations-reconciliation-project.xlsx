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IKETH\Desktop\CFI\Project1\"/>
    </mc:Choice>
  </mc:AlternateContent>
  <xr:revisionPtr revIDLastSave="0" documentId="13_ncr:1_{838CDACB-B8C9-4763-AA35-5EDF8D6F28A7}" xr6:coauthVersionLast="47" xr6:coauthVersionMax="47" xr10:uidLastSave="{00000000-0000-0000-0000-000000000000}"/>
  <bookViews>
    <workbookView xWindow="-108" yWindow="-108" windowWidth="23256" windowHeight="12576" xr2:uid="{456BAC6A-C5B0-4C02-A2D4-FCA88585F7A2}"/>
  </bookViews>
  <sheets>
    <sheet name="Dashboards" sheetId="5" r:id="rId1"/>
    <sheet name="Readme Summary" sheetId="9" r:id="rId2"/>
    <sheet name="Internal Trade Data" sheetId="1" r:id="rId3"/>
    <sheet name="Broker Trade Data" sheetId="2" r:id="rId4"/>
    <sheet name="Reconciliation" sheetId="3" r:id="rId5"/>
    <sheet name="Break Report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4" l="1"/>
  <c r="B6" i="3"/>
  <c r="C6" i="3"/>
  <c r="E6" i="3"/>
  <c r="G6" i="3" s="1"/>
  <c r="F6" i="3"/>
  <c r="H6" i="3"/>
  <c r="I6" i="2"/>
  <c r="I6" i="1"/>
  <c r="H2" i="3"/>
  <c r="H3" i="3"/>
  <c r="H4" i="3"/>
  <c r="H5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F2" i="3"/>
  <c r="F3" i="3"/>
  <c r="F4" i="3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C2" i="3"/>
  <c r="C3" i="3"/>
  <c r="C4" i="3"/>
  <c r="C5" i="3"/>
  <c r="C7" i="3"/>
  <c r="C8" i="3"/>
  <c r="C9" i="3"/>
  <c r="C10" i="3"/>
  <c r="C11" i="3"/>
  <c r="C12" i="3"/>
  <c r="C13" i="3"/>
  <c r="C14" i="3"/>
  <c r="C15" i="3"/>
  <c r="C16" i="3"/>
  <c r="I16" i="3" s="1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E3" i="3"/>
  <c r="E4" i="3"/>
  <c r="E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/>
  <c r="B4" i="3"/>
  <c r="B5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B42" i="4" l="1"/>
  <c r="D6" i="3"/>
  <c r="I6" i="3" s="1"/>
  <c r="G21" i="3"/>
  <c r="G13" i="3"/>
  <c r="G4" i="3"/>
  <c r="G29" i="3"/>
  <c r="G30" i="3"/>
  <c r="G22" i="3"/>
  <c r="G14" i="3"/>
  <c r="G5" i="3"/>
  <c r="G20" i="3"/>
  <c r="G12" i="3"/>
  <c r="G3" i="3"/>
  <c r="G32" i="3"/>
  <c r="G24" i="3"/>
  <c r="G16" i="3"/>
  <c r="G8" i="3"/>
  <c r="G25" i="3"/>
  <c r="G17" i="3"/>
  <c r="G9" i="3"/>
  <c r="G28" i="3"/>
  <c r="G26" i="3"/>
  <c r="G18" i="3"/>
  <c r="G10" i="3"/>
  <c r="G31" i="3"/>
  <c r="G23" i="3"/>
  <c r="G15" i="3"/>
  <c r="G7" i="3"/>
  <c r="G27" i="3"/>
  <c r="G19" i="3"/>
  <c r="G11" i="3"/>
  <c r="G2" i="3"/>
  <c r="B41" i="4" s="1"/>
  <c r="D28" i="3"/>
  <c r="D20" i="3"/>
  <c r="D12" i="3"/>
  <c r="D3" i="3"/>
  <c r="D27" i="3"/>
  <c r="I27" i="3" s="1"/>
  <c r="D19" i="3"/>
  <c r="I19" i="3" s="1"/>
  <c r="D11" i="3"/>
  <c r="D2" i="3"/>
  <c r="D26" i="3"/>
  <c r="D18" i="3"/>
  <c r="D10" i="3"/>
  <c r="D25" i="3"/>
  <c r="D17" i="3"/>
  <c r="D9" i="3"/>
  <c r="D32" i="3"/>
  <c r="D24" i="3"/>
  <c r="D16" i="3"/>
  <c r="D8" i="3"/>
  <c r="D31" i="3"/>
  <c r="D23" i="3"/>
  <c r="D15" i="3"/>
  <c r="D7" i="3"/>
  <c r="I7" i="3" s="1"/>
  <c r="D30" i="3"/>
  <c r="D22" i="3"/>
  <c r="D14" i="3"/>
  <c r="D5" i="3"/>
  <c r="D29" i="3"/>
  <c r="D21" i="3"/>
  <c r="D13" i="3"/>
  <c r="D4" i="3"/>
  <c r="I4" i="3" s="1"/>
  <c r="I2" i="3" l="1"/>
  <c r="B39" i="4" s="1"/>
  <c r="B43" i="4" s="1"/>
  <c r="B40" i="4"/>
  <c r="I11" i="3"/>
  <c r="I13" i="3"/>
  <c r="I21" i="3"/>
  <c r="I29" i="3"/>
  <c r="I8" i="3"/>
  <c r="A7" i="4" s="1"/>
  <c r="E7" i="4" s="1"/>
  <c r="I14" i="3"/>
  <c r="I22" i="3"/>
  <c r="I12" i="3"/>
  <c r="A11" i="4" s="1"/>
  <c r="E11" i="4" s="1"/>
  <c r="I5" i="3"/>
  <c r="B5" i="4" s="1"/>
  <c r="I3" i="3"/>
  <c r="A3" i="4" s="1"/>
  <c r="E3" i="4" s="1"/>
  <c r="I20" i="3"/>
  <c r="A19" i="4" s="1"/>
  <c r="E19" i="4" s="1"/>
  <c r="I30" i="3"/>
  <c r="A29" i="4" s="1"/>
  <c r="E29" i="4" s="1"/>
  <c r="I24" i="3"/>
  <c r="I18" i="3"/>
  <c r="I17" i="3"/>
  <c r="A16" i="4" s="1"/>
  <c r="E16" i="4" s="1"/>
  <c r="I25" i="3"/>
  <c r="A24" i="4" s="1"/>
  <c r="E24" i="4" s="1"/>
  <c r="I10" i="3"/>
  <c r="I32" i="3"/>
  <c r="I26" i="3"/>
  <c r="B25" i="4" s="1"/>
  <c r="I28" i="3"/>
  <c r="B27" i="4" s="1"/>
  <c r="I9" i="3"/>
  <c r="A8" i="4" s="1"/>
  <c r="E8" i="4" s="1"/>
  <c r="I15" i="3"/>
  <c r="I23" i="3"/>
  <c r="A22" i="4" s="1"/>
  <c r="E22" i="4" s="1"/>
  <c r="I31" i="3"/>
  <c r="A30" i="4" s="1"/>
  <c r="E30" i="4" s="1"/>
  <c r="A12" i="4"/>
  <c r="E12" i="4" s="1"/>
  <c r="B12" i="4"/>
  <c r="A4" i="4"/>
  <c r="E4" i="4" s="1"/>
  <c r="B4" i="4"/>
  <c r="B18" i="4"/>
  <c r="A18" i="4"/>
  <c r="E18" i="4" s="1"/>
  <c r="A2" i="4"/>
  <c r="E2" i="4" s="1"/>
  <c r="B2" i="4"/>
  <c r="A6" i="4"/>
  <c r="E6" i="4" s="1"/>
  <c r="B6" i="4"/>
  <c r="B31" i="4" l="1"/>
  <c r="C31" i="4" s="1"/>
  <c r="B9" i="4"/>
  <c r="B10" i="4"/>
  <c r="A26" i="4"/>
  <c r="E26" i="4" s="1"/>
  <c r="B26" i="4"/>
  <c r="C26" i="4" s="1"/>
  <c r="A21" i="4"/>
  <c r="E21" i="4" s="1"/>
  <c r="B14" i="4"/>
  <c r="C14" i="4" s="1"/>
  <c r="B15" i="4"/>
  <c r="A15" i="4"/>
  <c r="E15" i="4" s="1"/>
  <c r="A17" i="4"/>
  <c r="E17" i="4" s="1"/>
  <c r="A13" i="4"/>
  <c r="E13" i="4" s="1"/>
  <c r="B23" i="4"/>
  <c r="C23" i="4" s="1"/>
  <c r="A28" i="4"/>
  <c r="E28" i="4" s="1"/>
  <c r="A20" i="4"/>
  <c r="E20" i="4" s="1"/>
  <c r="B20" i="4"/>
  <c r="C20" i="4" s="1"/>
  <c r="A10" i="4"/>
  <c r="E10" i="4" s="1"/>
  <c r="B7" i="4"/>
  <c r="C7" i="4" s="1"/>
  <c r="A5" i="4"/>
  <c r="E5" i="4" s="1"/>
  <c r="B28" i="4"/>
  <c r="D28" i="4" s="1"/>
  <c r="A31" i="4"/>
  <c r="E31" i="4" s="1"/>
  <c r="B3" i="4"/>
  <c r="C3" i="4" s="1"/>
  <c r="B29" i="4"/>
  <c r="D29" i="4" s="1"/>
  <c r="B13" i="4"/>
  <c r="C13" i="4" s="1"/>
  <c r="B11" i="4"/>
  <c r="D11" i="4" s="1"/>
  <c r="B19" i="4"/>
  <c r="D19" i="4" s="1"/>
  <c r="B21" i="4"/>
  <c r="D21" i="4" s="1"/>
  <c r="A23" i="4"/>
  <c r="E23" i="4" s="1"/>
  <c r="B17" i="4"/>
  <c r="D17" i="4" s="1"/>
  <c r="B16" i="4"/>
  <c r="D16" i="4" s="1"/>
  <c r="B24" i="4"/>
  <c r="C24" i="4" s="1"/>
  <c r="B22" i="4"/>
  <c r="C22" i="4" s="1"/>
  <c r="A14" i="4"/>
  <c r="E14" i="4" s="1"/>
  <c r="A27" i="4"/>
  <c r="E27" i="4" s="1"/>
  <c r="B8" i="4"/>
  <c r="C8" i="4" s="1"/>
  <c r="A9" i="4"/>
  <c r="E9" i="4" s="1"/>
  <c r="A25" i="4"/>
  <c r="E25" i="4" s="1"/>
  <c r="B30" i="4"/>
  <c r="C30" i="4" s="1"/>
  <c r="D12" i="4"/>
  <c r="C12" i="4"/>
  <c r="C25" i="4"/>
  <c r="D25" i="4"/>
  <c r="C9" i="4"/>
  <c r="D9" i="4"/>
  <c r="D4" i="4"/>
  <c r="C4" i="4"/>
  <c r="C27" i="4"/>
  <c r="D27" i="4"/>
  <c r="C18" i="4"/>
  <c r="D18" i="4"/>
  <c r="C2" i="4"/>
  <c r="D2" i="4"/>
  <c r="D5" i="4"/>
  <c r="C5" i="4"/>
  <c r="C6" i="4"/>
  <c r="D6" i="4"/>
  <c r="C10" i="4"/>
  <c r="D10" i="4"/>
  <c r="D26" i="4"/>
  <c r="D31" i="4" l="1"/>
  <c r="D23" i="4"/>
  <c r="D14" i="4"/>
  <c r="D15" i="4"/>
  <c r="C15" i="4"/>
  <c r="D20" i="4"/>
  <c r="D3" i="4"/>
  <c r="D7" i="4"/>
  <c r="C28" i="4"/>
  <c r="C11" i="4"/>
  <c r="D24" i="4"/>
  <c r="D13" i="4"/>
  <c r="C17" i="4"/>
  <c r="C29" i="4"/>
  <c r="C16" i="4"/>
  <c r="C19" i="4"/>
  <c r="C21" i="4"/>
  <c r="D22" i="4"/>
  <c r="D8" i="4"/>
  <c r="D30" i="4"/>
</calcChain>
</file>

<file path=xl/sharedStrings.xml><?xml version="1.0" encoding="utf-8"?>
<sst xmlns="http://schemas.openxmlformats.org/spreadsheetml/2006/main" count="473" uniqueCount="120">
  <si>
    <t>Trade ID</t>
  </si>
  <si>
    <t>Trade Date</t>
  </si>
  <si>
    <t>Settlement Date</t>
  </si>
  <si>
    <t>Asset Type</t>
  </si>
  <si>
    <t>Security Name</t>
  </si>
  <si>
    <t>Buy/Sell</t>
  </si>
  <si>
    <t>Quantity</t>
  </si>
  <si>
    <t>Price</t>
  </si>
  <si>
    <t>Trade Value</t>
  </si>
  <si>
    <t>Counterparty</t>
  </si>
  <si>
    <t>Status</t>
  </si>
  <si>
    <t>T001</t>
  </si>
  <si>
    <t>Equity</t>
  </si>
  <si>
    <t>Apple Inc.</t>
  </si>
  <si>
    <t>Buy</t>
  </si>
  <si>
    <t>Goldman Sachs</t>
  </si>
  <si>
    <t>Settled</t>
  </si>
  <si>
    <t>T002</t>
  </si>
  <si>
    <t>Microsoft Corp.</t>
  </si>
  <si>
    <t>Sell</t>
  </si>
  <si>
    <t>JPMorgan</t>
  </si>
  <si>
    <t>T003</t>
  </si>
  <si>
    <t>Tesla Inc.</t>
  </si>
  <si>
    <t>Morgan Stanley</t>
  </si>
  <si>
    <t>T004</t>
  </si>
  <si>
    <t>ETF</t>
  </si>
  <si>
    <t>SPDR S&amp;P 500 ETF</t>
  </si>
  <si>
    <t>Citi</t>
  </si>
  <si>
    <t>T005</t>
  </si>
  <si>
    <t>Fixed Income</t>
  </si>
  <si>
    <t>US Treasury 10Y</t>
  </si>
  <si>
    <t>Barclays</t>
  </si>
  <si>
    <t>T006</t>
  </si>
  <si>
    <t>Amazon.com Inc.</t>
  </si>
  <si>
    <t>T007</t>
  </si>
  <si>
    <t>Derivative</t>
  </si>
  <si>
    <t>S&amp;P 500 Futures</t>
  </si>
  <si>
    <t>Pending</t>
  </si>
  <si>
    <t>T008</t>
  </si>
  <si>
    <t>NVIDIA Corp.</t>
  </si>
  <si>
    <t>T009</t>
  </si>
  <si>
    <t>Invesco QQQ ETF</t>
  </si>
  <si>
    <t>T010</t>
  </si>
  <si>
    <t>Corporate Bond A</t>
  </si>
  <si>
    <t>T011</t>
  </si>
  <si>
    <t>Meta Platforms</t>
  </si>
  <si>
    <t>T012</t>
  </si>
  <si>
    <t>Netflix Inc.</t>
  </si>
  <si>
    <t>T013</t>
  </si>
  <si>
    <t>iShares Russell 2000 ETF</t>
  </si>
  <si>
    <t>T014</t>
  </si>
  <si>
    <t>Municipal Bond B</t>
  </si>
  <si>
    <t>T015</t>
  </si>
  <si>
    <t>Oil Futures</t>
  </si>
  <si>
    <t>Failed</t>
  </si>
  <si>
    <t>T016</t>
  </si>
  <si>
    <t>JPMorgan Chase</t>
  </si>
  <si>
    <t>T017</t>
  </si>
  <si>
    <t>Bank of America</t>
  </si>
  <si>
    <t>T018</t>
  </si>
  <si>
    <t>Vanguard Total Market ETF</t>
  </si>
  <si>
    <t>T019</t>
  </si>
  <si>
    <t>US Treasury 2Y</t>
  </si>
  <si>
    <t>T020</t>
  </si>
  <si>
    <t>Alphabet Inc.</t>
  </si>
  <si>
    <t>T021</t>
  </si>
  <si>
    <t>Nasdaq Futures</t>
  </si>
  <si>
    <t>T022</t>
  </si>
  <si>
    <t>Salesforce Inc.</t>
  </si>
  <si>
    <t>T023</t>
  </si>
  <si>
    <t>iShares MSCI EAFE ETF</t>
  </si>
  <si>
    <t>T024</t>
  </si>
  <si>
    <t>Corporate Bond B</t>
  </si>
  <si>
    <t>T025</t>
  </si>
  <si>
    <t>Visa Inc.</t>
  </si>
  <si>
    <t>T026</t>
  </si>
  <si>
    <t>Mastercard Inc.</t>
  </si>
  <si>
    <t>T027</t>
  </si>
  <si>
    <t>Gold Futures</t>
  </si>
  <si>
    <t>T028</t>
  </si>
  <si>
    <t>ARK Innovation ETF</t>
  </si>
  <si>
    <t>T029</t>
  </si>
  <si>
    <t>High Yield Bond ETF</t>
  </si>
  <si>
    <t>T030</t>
  </si>
  <si>
    <t>Adobe Inc.</t>
  </si>
  <si>
    <t>T031</t>
  </si>
  <si>
    <t>PayPal Holdings</t>
  </si>
  <si>
    <t>Internal Qty</t>
  </si>
  <si>
    <t>Broker Qty</t>
  </si>
  <si>
    <t>Qty Match</t>
  </si>
  <si>
    <t>Internal Price</t>
  </si>
  <si>
    <t>Broker Price</t>
  </si>
  <si>
    <t>Price Match</t>
  </si>
  <si>
    <t>Broker Status</t>
  </si>
  <si>
    <t>Break Type</t>
  </si>
  <si>
    <t>Root Cause</t>
  </si>
  <si>
    <t>Action Required</t>
  </si>
  <si>
    <t>T0043</t>
  </si>
  <si>
    <t>Range Resources Corp</t>
  </si>
  <si>
    <t>Range Resoruces Corp</t>
  </si>
  <si>
    <t>Metric</t>
  </si>
  <si>
    <t>Value</t>
  </si>
  <si>
    <t>Total Trades</t>
  </si>
  <si>
    <t>Total Breaks</t>
  </si>
  <si>
    <t>Quantity Breaks</t>
  </si>
  <si>
    <t>Price Breaks</t>
  </si>
  <si>
    <t>Missing Trades</t>
  </si>
  <si>
    <t>Break %</t>
  </si>
  <si>
    <t>Trade Operations Reconciliation &amp; Break Analysis</t>
  </si>
  <si>
    <t>Count</t>
  </si>
  <si>
    <t>% of Total Trades</t>
  </si>
  <si>
    <t>Trade Reconciliation &amp; Break Analysis Dashboard</t>
  </si>
  <si>
    <t>Post-Trade Operations Monitoring</t>
  </si>
  <si>
    <r>
      <t xml:space="preserve">31
</t>
    </r>
    <r>
      <rPr>
        <b/>
        <sz val="11"/>
        <color theme="0"/>
        <rFont val="Calibri"/>
        <family val="2"/>
        <scheme val="minor"/>
      </rPr>
      <t>Total Trades</t>
    </r>
  </si>
  <si>
    <t>Trades</t>
  </si>
  <si>
    <r>
      <t>5</t>
    </r>
    <r>
      <rPr>
        <sz val="11"/>
        <color theme="0"/>
        <rFont val="Calibri"/>
        <family val="2"/>
        <scheme val="minor"/>
      </rPr>
      <t xml:space="preserve">
</t>
    </r>
    <r>
      <rPr>
        <b/>
        <sz val="11"/>
        <color theme="0"/>
        <rFont val="Calibri"/>
        <family val="2"/>
        <scheme val="minor"/>
      </rPr>
      <t>Total Breaks</t>
    </r>
  </si>
  <si>
    <r>
      <t>16%</t>
    </r>
    <r>
      <rPr>
        <b/>
        <sz val="11"/>
        <color theme="0"/>
        <rFont val="Calibri"/>
        <family val="2"/>
        <scheme val="minor"/>
      </rPr>
      <t xml:space="preserve">
Break Rate</t>
    </r>
  </si>
  <si>
    <r>
      <t>4</t>
    </r>
    <r>
      <rPr>
        <b/>
        <sz val="11"/>
        <color theme="0"/>
        <rFont val="Calibri"/>
        <family val="2"/>
        <scheme val="minor"/>
      </rPr>
      <t xml:space="preserve">
Asset Classes</t>
    </r>
  </si>
  <si>
    <t>Built in Excel | Trade Operations Simulation Project</t>
  </si>
  <si>
    <r>
      <rPr>
        <b/>
        <sz val="14"/>
        <color rgb="FF163763"/>
        <rFont val="Calibri"/>
        <family val="2"/>
        <scheme val="minor"/>
      </rPr>
      <t>Operational Insights</t>
    </r>
    <r>
      <rPr>
        <sz val="11"/>
        <color theme="1" tint="0.249977111117893"/>
        <rFont val="Calibri"/>
        <family val="2"/>
        <scheme val="minor"/>
      </rPr>
      <t xml:space="preserve">
</t>
    </r>
    <r>
      <rPr>
        <sz val="11"/>
        <color theme="2" tint="-0.749992370372631"/>
        <rFont val="Calibri"/>
        <family val="2"/>
        <scheme val="minor"/>
      </rPr>
      <t>• Equity trades represented the highest trading activity
• Quantity and price mismatches were the most common breaks
• Overall reconciliation break rate remained at 16%
• Missing trades highlighted settlement monitoring exceptions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</si>
</sst>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4"/>
      <color rgb="FF16376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63763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/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44" fontId="0" fillId="0" borderId="0" xfId="2" applyFont="1"/>
    <xf numFmtId="0" fontId="3" fillId="0" borderId="0" xfId="0" applyFont="1" applyAlignment="1">
      <alignment horizontal="center" vertical="top"/>
    </xf>
    <xf numFmtId="10" fontId="0" fillId="0" borderId="0" xfId="0" applyNumberFormat="1" applyAlignment="1">
      <alignment vertical="center" wrapText="1"/>
    </xf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4" borderId="3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4" borderId="10" xfId="0" applyFill="1" applyBorder="1" applyAlignment="1">
      <alignment horizontal="left" vertical="top"/>
    </xf>
    <xf numFmtId="0" fontId="6" fillId="3" borderId="6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34"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left style="thin">
          <color theme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1637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Asset</a:t>
            </a:r>
            <a:r>
              <a:rPr lang="en-IN" sz="1600" baseline="0"/>
              <a:t> Type Distribuiton</a:t>
            </a:r>
            <a:endParaRPr lang="en-IN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Dashboards!$C$41</c:f>
              <c:strCache>
                <c:ptCount val="1"/>
                <c:pt idx="0">
                  <c:v>Trades</c:v>
                </c:pt>
              </c:strCache>
            </c:strRef>
          </c:tx>
          <c:spPr>
            <a:solidFill>
              <a:srgbClr val="1637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Dashboards!$B$42:$B$45</c:f>
              <c:strCache>
                <c:ptCount val="4"/>
                <c:pt idx="0">
                  <c:v>Equity</c:v>
                </c:pt>
                <c:pt idx="1">
                  <c:v>ETF</c:v>
                </c:pt>
                <c:pt idx="2">
                  <c:v>Fixed Income</c:v>
                </c:pt>
                <c:pt idx="3">
                  <c:v>Derivative</c:v>
                </c:pt>
              </c:strCache>
            </c:strRef>
          </c:cat>
          <c:val>
            <c:numRef>
              <c:f>Dashboards!$C$42:$C$45</c:f>
              <c:numCache>
                <c:formatCode>General</c:formatCode>
                <c:ptCount val="4"/>
                <c:pt idx="0">
                  <c:v>15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1-44B1-B2F6-E3CB027521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3177472"/>
        <c:axId val="1173177952"/>
      </c:barChart>
      <c:catAx>
        <c:axId val="117317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77952"/>
        <c:crosses val="autoZero"/>
        <c:auto val="1"/>
        <c:lblAlgn val="ctr"/>
        <c:lblOffset val="100"/>
        <c:noMultiLvlLbl val="0"/>
      </c:catAx>
      <c:valAx>
        <c:axId val="117317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7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Break Type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Dashboards!$F$41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Dashboards!$E$42:$E$44</c:f>
              <c:strCache>
                <c:ptCount val="3"/>
                <c:pt idx="0">
                  <c:v>Quantity Breaks</c:v>
                </c:pt>
                <c:pt idx="1">
                  <c:v>Price Breaks</c:v>
                </c:pt>
                <c:pt idx="2">
                  <c:v>Missing Trades</c:v>
                </c:pt>
              </c:strCache>
            </c:strRef>
          </c:cat>
          <c:val>
            <c:numRef>
              <c:f>Dashboards!$F$42:$F$44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3-4244-BD5B-95C90655E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1988832"/>
        <c:axId val="1061988352"/>
      </c:barChart>
      <c:catAx>
        <c:axId val="106198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88352"/>
        <c:crosses val="autoZero"/>
        <c:auto val="1"/>
        <c:lblAlgn val="ctr"/>
        <c:lblOffset val="100"/>
        <c:noMultiLvlLbl val="0"/>
      </c:catAx>
      <c:valAx>
        <c:axId val="106198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8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 Type Distribuition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'Break Report'!$F$37</c:f>
              <c:strCache>
                <c:ptCount val="1"/>
                <c:pt idx="0">
                  <c:v>% of Total Trades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Report'!$D$38:$D$40</c:f>
              <c:strCache>
                <c:ptCount val="3"/>
                <c:pt idx="0">
                  <c:v>Quantity Breaks</c:v>
                </c:pt>
                <c:pt idx="1">
                  <c:v>Price Breaks</c:v>
                </c:pt>
                <c:pt idx="2">
                  <c:v>Missing Trades</c:v>
                </c:pt>
              </c:strCache>
            </c:strRef>
          </c:cat>
          <c:val>
            <c:numRef>
              <c:f>'Break Report'!$F$38:$F$40</c:f>
              <c:numCache>
                <c:formatCode>0.00%</c:formatCode>
                <c:ptCount val="3"/>
                <c:pt idx="0">
                  <c:v>9.7000000000000003E-2</c:v>
                </c:pt>
                <c:pt idx="1">
                  <c:v>9.7000000000000003E-2</c:v>
                </c:pt>
                <c:pt idx="2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E-4312-8F05-A0BD6AAF3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 Report'!$E$37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'Break Report'!$D$38:$D$40</c15:sqref>
                        </c15:formulaRef>
                      </c:ext>
                    </c:extLst>
                    <c:strCache>
                      <c:ptCount val="3"/>
                      <c:pt idx="0">
                        <c:v>Quantity Breaks</c:v>
                      </c:pt>
                      <c:pt idx="1">
                        <c:v>Price Breaks</c:v>
                      </c:pt>
                      <c:pt idx="2">
                        <c:v>Missing Trades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'Break Report'!$E$38:$E$40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04E-4312-8F05-A0BD6AAF369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853441</xdr:colOff>
      <xdr:row>11</xdr:row>
      <xdr:rowOff>57150</xdr:rowOff>
    </xdr:from>
    <xdr:to>
      <xdr:col>6</xdr:col>
      <xdr:colOff>192158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10A5A-0AB7-0F1C-7015-CE8A995DA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284922</xdr:colOff>
      <xdr:row>11</xdr:row>
      <xdr:rowOff>52136</xdr:rowOff>
    </xdr:from>
    <xdr:to>
      <xdr:col>12</xdr:col>
      <xdr:colOff>45720</xdr:colOff>
      <xdr:row>23</xdr:row>
      <xdr:rowOff>60959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E695D-018E-2AFF-263E-03E8A7647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2</xdr:row>
      <xdr:rowOff>15240</xdr:rowOff>
    </xdr:from>
    <xdr:to>
      <xdr:col>12</xdr:col>
      <xdr:colOff>175260</xdr:colOff>
      <xdr:row>32</xdr:row>
      <xdr:rowOff>45720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7BF7A79-8A4F-FA0B-1ED2-B2A5A1064065}"/>
            </a:ext>
          </a:extLst>
        </xdr:cNvPr>
        <xdr:cNvSpPr/>
      </xdr:nvSpPr>
      <xdr:spPr>
        <a:xfrm>
          <a:off x="571500" y="15240"/>
          <a:ext cx="7604760" cy="551688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0</xdr:rowOff>
    </xdr:from>
    <xdr:to>
      <xdr:col>0</xdr:col>
      <xdr:colOff>12473940</xdr:colOff>
      <xdr:row>52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1ECAB7-D814-DFBB-9EA0-6C22E00E4EAC}"/>
            </a:ext>
          </a:extLst>
        </xdr:cNvPr>
        <xdr:cNvSpPr txBox="1"/>
      </xdr:nvSpPr>
      <xdr:spPr>
        <a:xfrm>
          <a:off x="175260" y="0"/>
          <a:ext cx="12298680" cy="9669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u="sng">
              <a:latin typeface="Arial" panose="020B0604020202020204" pitchFamily="34" charset="0"/>
              <a:cs typeface="Arial" panose="020B0604020202020204" pitchFamily="34" charset="0"/>
            </a:rPr>
            <a:t>Trade Operations Reconciliation &amp; Break Analysis</a:t>
          </a:r>
        </a:p>
        <a:p>
          <a:endParaRPr lang="en-IN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Objective: 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Simulate post-trade reconciliation between internal and broker trade records to identify operational breaks, monitor settlement discrepancies, and analyze reconciliation accuracy across multiple asset classes.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/>
          <a:r>
            <a:rPr lang="en-IN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Project Scope: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This project simulates a trade operations workflow involving trade capture, broker comparison, reconciliation, break identification, and operational reporting.</a:t>
          </a: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IN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Asset Class Covered: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Equity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ETF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Fixed Income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Derivatives</a:t>
          </a: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IN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Key Functions Performed: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Trade Reconciliation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Break Identification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Exception Reporting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Quantity &amp; Price Validation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Missing Trade Detection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Dashboard Reporting</a:t>
          </a: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IN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Tools Used: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Microsoft Excel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VLOOKUP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IF Statements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Pivot Tables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Charts &amp; Dashboard Reporting</a:t>
          </a: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IN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Key Findings: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Identified quantity, price, and missing trade breaks between internal and broker datasets.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Simulated operational risk scenarios through reconciliation exceptions.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• Built dashboards to monitor break percentages and trade activity.</a:t>
          </a: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IN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Workflow Overview: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Internal Trade Data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↓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Broker Trade Data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↓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Trade Reconciliation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↓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Break Identification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↓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Break Report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↓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Dashboard Reporting</a:t>
          </a: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en-I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By: Aniketh Moparthi</a:t>
          </a:r>
        </a:p>
        <a:p>
          <a:pPr marL="0" indent="0"/>
          <a:r>
            <a:rPr lang="en-I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Role/Focus: Trade Operations/Capital Markets.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31</xdr:row>
      <xdr:rowOff>19050</xdr:rowOff>
    </xdr:from>
    <xdr:to>
      <xdr:col>13</xdr:col>
      <xdr:colOff>525780</xdr:colOff>
      <xdr:row>40</xdr:row>
      <xdr:rowOff>201930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D97A0-A432-076D-D831-E66CEB5AE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58AA1E-335F-46C7-A3D7-51F6D8D684E0}" name="Table6" displayName="Table6" ref="B41:C45" totalsRowShown="0" headerRowDxfId="11" dataDxfId="10">
  <autoFilter ref="B41:C45" xr:uid="{7158AA1E-335F-46C7-A3D7-51F6D8D684E0}"/>
  <tableColumns count="2">
    <tableColumn id="1" xr3:uid="{059C2E83-BA41-4BC0-94FD-13F2D903B3E6}" name="Asset Type" dataDxfId="9"/>
    <tableColumn id="2" xr3:uid="{51A00A81-FC8D-45DD-AEF3-52005C6049EA}" name="Trade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643DEE-1DC8-4E27-8173-2B0D6E3D4594}" name="Table7" displayName="Table7" ref="E41:F44" totalsRowShown="0" headerRowDxfId="7" dataDxfId="6">
  <autoFilter ref="E41:F44" xr:uid="{EF643DEE-1DC8-4E27-8173-2B0D6E3D4594}"/>
  <tableColumns count="2">
    <tableColumn id="1" xr3:uid="{26D4F2C6-7369-44B4-BACD-4C4B0C8543E9}" name="Break Type" dataDxfId="5"/>
    <tableColumn id="2" xr3:uid="{C8ED01DA-5CCE-47BC-B647-6F288E1A5212}" name="Count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32583-3EED-4B45-BFBD-4CB1B6D3052C}" name="Table2" displayName="Table2" ref="A1:K32" totalsRowShown="0">
  <autoFilter ref="A1:K32" xr:uid="{05832583-3EED-4B45-BFBD-4CB1B6D3052C}"/>
  <tableColumns count="11">
    <tableColumn id="1" xr3:uid="{D55E3BAB-BE84-4FEB-A496-64EBCC155DBA}" name="Trade ID"/>
    <tableColumn id="2" xr3:uid="{CA1761B7-23C8-49C4-B518-7674FF2D7B02}" name="Trade Date" dataDxfId="33"/>
    <tableColumn id="3" xr3:uid="{A72B0373-D12A-4373-9AE5-7B0C72FCDD1B}" name="Settlement Date" dataDxfId="32"/>
    <tableColumn id="4" xr3:uid="{746A13EF-976F-4A9E-8FAC-D0AF5AB79075}" name="Asset Type"/>
    <tableColumn id="5" xr3:uid="{3174925B-EBCA-4713-B110-E1062B52A5C3}" name="Security Name"/>
    <tableColumn id="6" xr3:uid="{A489DCC0-A224-42B7-B666-DAB5336EF0B9}" name="Buy/Sell"/>
    <tableColumn id="7" xr3:uid="{7C732062-39B1-4BE1-94DB-D10259462BE4}" name="Quantity"/>
    <tableColumn id="8" xr3:uid="{54DCA0D9-E691-4BDE-852A-229A084FD5A7}" name="Price"/>
    <tableColumn id="9" xr3:uid="{15FEFC66-6830-4B23-AFF4-E3E4E1DEE7BA}" name="Trade Value" dataCellStyle="Currency"/>
    <tableColumn id="10" xr3:uid="{78848F89-059D-4B0D-92AA-17424252D427}" name="Counterparty"/>
    <tableColumn id="11" xr3:uid="{36923C93-DE22-4B1B-AF41-D59ED84CAED7}" name="Status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917C04-C0CD-4C96-8137-D6F6BF47AB7E}" name="Table3" displayName="Table3" ref="A1:K32" totalsRowShown="0">
  <autoFilter ref="A1:K32" xr:uid="{44917C04-C0CD-4C96-8137-D6F6BF47AB7E}"/>
  <tableColumns count="11">
    <tableColumn id="1" xr3:uid="{DF591813-793F-448D-9A08-7EA3326A3430}" name="Trade ID"/>
    <tableColumn id="2" xr3:uid="{FFD1B513-1D96-4DC0-894A-4EF3D659DBBC}" name="Trade Date" dataDxfId="31"/>
    <tableColumn id="3" xr3:uid="{3D855ABD-93B7-48D1-A285-04CC64C3677D}" name="Settlement Date" dataDxfId="30"/>
    <tableColumn id="4" xr3:uid="{4E01239A-ED2F-4E35-BF96-EBF7B4B71C51}" name="Asset Type"/>
    <tableColumn id="5" xr3:uid="{811D2141-D08B-43E5-B5D2-0DF0E33C489C}" name="Security Name"/>
    <tableColumn id="6" xr3:uid="{06203CCE-727F-4EA5-930C-3CA26A55584A}" name="Buy/Sell"/>
    <tableColumn id="7" xr3:uid="{1F48A972-3B19-4F87-84BF-B3637AFA009D}" name="Quantity"/>
    <tableColumn id="8" xr3:uid="{2B368F51-4CC9-4B66-B717-91A75A28C553}" name="Price"/>
    <tableColumn id="9" xr3:uid="{D6364731-9C1C-4932-B595-1FA7C5E238F0}" name="Trade Value" dataCellStyle="Currency"/>
    <tableColumn id="10" xr3:uid="{452C22A3-5BC2-4ABF-BEDC-AE89D717FD94}" name="Counterparty"/>
    <tableColumn id="11" xr3:uid="{267363AD-A355-40AC-8045-A5CCC6A687E4}" name="Status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62D666-A2B2-42C4-94BC-3748B73D6E17}" name="Table4" displayName="Table4" ref="A1:I32" totalsRowShown="0" headerRowDxfId="29" tableBorderDxfId="28">
  <autoFilter ref="A1:I32" xr:uid="{4162D666-A2B2-42C4-94BC-3748B73D6E17}"/>
  <sortState xmlns:xlrd2="http://schemas.microsoft.com/office/spreadsheetml/2017/richdata2" ref="A2:I32">
    <sortCondition sortBy="fontColor" ref="I2:I32" dxfId="27"/>
  </sortState>
  <tableColumns count="9">
    <tableColumn id="1" xr3:uid="{C824A3AC-C0EB-4746-B6C7-DD6EB6E91EA5}" name="Trade ID" dataDxfId="26"/>
    <tableColumn id="2" xr3:uid="{14AFCAD2-E9B5-45A8-8797-C505488DDB58}" name="Internal Qty">
      <calculatedColumnFormula>VLOOKUP(A2,Table2[#All],7,FALSE)</calculatedColumnFormula>
    </tableColumn>
    <tableColumn id="3" xr3:uid="{3664AA68-9A0C-4CF8-8541-C4DE788889CE}" name="Broker Qty" dataDxfId="25">
      <calculatedColumnFormula>IFERROR(VLOOKUP(A2,Table3[#All],7,FALSE),"Missing")</calculatedColumnFormula>
    </tableColumn>
    <tableColumn id="4" xr3:uid="{66F27D82-9751-4A48-861E-44ED90FAB46C}" name="Qty Match" dataDxfId="24">
      <calculatedColumnFormula>IF(Table4[[#This Row],[Broker Qty]]="Missing","Missing",IF(Table4[[#This Row],[Internal Qty]]=Table4[[#This Row],[Broker Qty]],"Match","Break"))</calculatedColumnFormula>
    </tableColumn>
    <tableColumn id="5" xr3:uid="{0F0EF7B6-1DF4-4AE5-9CB0-F40DDEC23D6C}" name="Internal Price">
      <calculatedColumnFormula>VLOOKUP(A2,Table2[#All],8,FALSE)</calculatedColumnFormula>
    </tableColumn>
    <tableColumn id="6" xr3:uid="{DF049F08-D0E7-44E8-BCEC-51BBE201F0A3}" name="Broker Price" dataDxfId="23">
      <calculatedColumnFormula>IFERROR(VLOOKUP(Table4[[#This Row],[Trade ID]],Table3[#All],8,FALSE),"Missing")</calculatedColumnFormula>
    </tableColumn>
    <tableColumn id="7" xr3:uid="{19FD193F-24C8-458F-8106-DBFFAB6EBEC3}" name="Price Match" dataDxfId="22">
      <calculatedColumnFormula>IF(Table4[[#This Row],[Internal Price]]=Table4[[#This Row],[Broker Price]],"Match","Break")</calculatedColumnFormula>
    </tableColumn>
    <tableColumn id="8" xr3:uid="{28550DAD-CEFF-40D3-AAF8-5C452E10955D}" name="Broker Status" dataDxfId="21">
      <calculatedColumnFormula>IFERROR(VLOOKUP(Table4[[#This Row],[Trade ID]],Table3[#All],11,FALSE),"Missing")</calculatedColumnFormula>
    </tableColumn>
    <tableColumn id="9" xr3:uid="{81F1DA02-7DD6-4882-AA02-A6DA05B7A8C7}" name="Break Type" dataDxfId="20">
      <calculatedColumnFormula>IF(Table4[[#This Row],[Broker Qty]]="Missing","Missing Trade",IF(Table4[[#This Row],[Qty Match]]="Break","Quantity Break",IF(Table4[[#This Row],[Price Match]]="Break","Price Break","No Break")))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6DEE1-7511-4C47-B781-A7CF1D669A20}" name="Table1" displayName="Table1" ref="A1:E31" totalsRowShown="0" headerRowDxfId="19">
  <autoFilter ref="A1:E31" xr:uid="{D1E6DEE1-7511-4C47-B781-A7CF1D669A20}">
    <filterColumn colId="0">
      <customFilters>
        <customFilter operator="notEqual" val=" "/>
      </customFilters>
    </filterColumn>
  </autoFilter>
  <tableColumns count="5">
    <tableColumn id="1" xr3:uid="{55B59048-C0C3-4B4E-883B-4DF75EDB83DD}" name="Trade ID">
      <calculatedColumnFormula>IF(Table4[[#This Row],[Break Type]]&lt;&gt;"No Break",Table4[[#This Row],[Trade ID]],"")</calculatedColumnFormula>
    </tableColumn>
    <tableColumn id="2" xr3:uid="{02D0D294-6E3D-4C3E-B984-10E0B9240042}" name="Break Type">
      <calculatedColumnFormula>IF(Table4[[#This Row],[Break Type]]&lt;&gt;"No Break",Table4[[#This Row],[Break Type]],"")</calculatedColumnFormula>
    </tableColumn>
    <tableColumn id="3" xr3:uid="{0F6B5D65-0EFD-4BC1-854B-0C9C8015617E}" name="Root Cause" dataDxfId="18">
      <calculatedColumnFormula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calculatedColumnFormula>
    </tableColumn>
    <tableColumn id="4" xr3:uid="{DA07A570-75D1-4B1D-AF61-F9823B06454B}" name="Action Required" dataDxfId="17">
      <calculatedColumnFormula>IF(Table1[[#This Row],[Break Type]]="Quantity Break","Confirm quantity with broker",IF(Table1[[#This Row],[Break Type]]="Price Break","Check price with brocker",IF(Table1[[#This Row],[Break Type]]="Missing Trade","contact broker to confirm Trade","")))</calculatedColumnFormula>
    </tableColumn>
    <tableColumn id="5" xr3:uid="{068CA2E3-585E-4CD0-BD07-167A647E16DC}" name="Status" dataDxfId="16">
      <calculatedColumnFormula>IF(Table1[[#This Row],[Trade ID]]="","","Open")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E68571-D8F2-4910-AF50-F46698755906}" name="Table5" displayName="Table5" ref="A37:B43" totalsRowShown="0" headerRowDxfId="15" dataDxfId="14">
  <autoFilter ref="A37:B43" xr:uid="{F6E68571-D8F2-4910-AF50-F46698755906}"/>
  <tableColumns count="2">
    <tableColumn id="1" xr3:uid="{47C1C04A-E2B7-4FF0-AAAB-DC8D0F799645}" name="Metric" dataDxfId="13"/>
    <tableColumn id="2" xr3:uid="{1BF2C010-6D43-496A-A378-B73D52AE5534}" name="Value" dataDxfId="1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C78C-F235-4C70-8F1A-DCDB249CCA0B}">
  <dimension ref="A3:L45"/>
  <sheetViews>
    <sheetView showGridLines="0" tabSelected="1" topLeftCell="A2" zoomScale="85" zoomScaleNormal="85" workbookViewId="0">
      <selection activeCell="Q27" sqref="Q27"/>
    </sheetView>
  </sheetViews>
  <sheetFormatPr defaultRowHeight="14.4" x14ac:dyDescent="0.3"/>
  <cols>
    <col min="1" max="1" width="12.5546875" style="12" bestFit="1" customWidth="1"/>
    <col min="2" max="2" width="11.88671875" style="12" customWidth="1"/>
    <col min="3" max="4" width="8.88671875" style="12"/>
    <col min="5" max="5" width="12.21875" style="12" customWidth="1"/>
    <col min="6" max="16384" width="8.88671875" style="12"/>
  </cols>
  <sheetData>
    <row r="3" spans="1:12" x14ac:dyDescent="0.3">
      <c r="A3" s="30" t="s">
        <v>111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x14ac:dyDescent="0.3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x14ac:dyDescent="0.3">
      <c r="A5" s="15" t="s">
        <v>112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2" ht="14.4" customHeight="1" x14ac:dyDescent="0.3">
      <c r="B8" s="16" t="s">
        <v>113</v>
      </c>
      <c r="C8" s="17"/>
      <c r="E8" s="16" t="s">
        <v>115</v>
      </c>
      <c r="F8" s="17"/>
      <c r="H8" s="16" t="s">
        <v>116</v>
      </c>
      <c r="I8" s="17"/>
      <c r="K8" s="16" t="s">
        <v>117</v>
      </c>
      <c r="L8" s="17"/>
    </row>
    <row r="9" spans="1:12" x14ac:dyDescent="0.3">
      <c r="B9" s="17"/>
      <c r="C9" s="17"/>
      <c r="E9" s="17"/>
      <c r="F9" s="17"/>
      <c r="H9" s="17"/>
      <c r="I9" s="17"/>
      <c r="K9" s="17"/>
      <c r="L9" s="17"/>
    </row>
    <row r="10" spans="1:12" x14ac:dyDescent="0.3">
      <c r="B10" s="17"/>
      <c r="C10" s="17"/>
      <c r="E10" s="17"/>
      <c r="F10" s="17"/>
      <c r="H10" s="17"/>
      <c r="I10" s="17"/>
      <c r="K10" s="17"/>
      <c r="L10" s="17"/>
    </row>
    <row r="25" spans="2:12" x14ac:dyDescent="0.3">
      <c r="B25" s="21" t="s">
        <v>119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2:12" x14ac:dyDescent="0.3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2:12" x14ac:dyDescent="0.3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2:12" x14ac:dyDescent="0.3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2:12" ht="21.6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2" spans="2:12" x14ac:dyDescent="0.3">
      <c r="F32" s="13"/>
      <c r="G32" s="13"/>
      <c r="H32" s="18" t="s">
        <v>118</v>
      </c>
      <c r="I32" s="18"/>
      <c r="J32" s="18"/>
      <c r="K32" s="18"/>
      <c r="L32" s="18"/>
    </row>
    <row r="41" spans="2:6" ht="28.8" customHeight="1" x14ac:dyDescent="0.3">
      <c r="B41" s="4" t="s">
        <v>3</v>
      </c>
      <c r="C41" s="4" t="s">
        <v>114</v>
      </c>
      <c r="E41" s="4" t="s">
        <v>94</v>
      </c>
      <c r="F41" s="4" t="s">
        <v>109</v>
      </c>
    </row>
    <row r="42" spans="2:6" ht="28.8" x14ac:dyDescent="0.3">
      <c r="B42" s="7" t="s">
        <v>12</v>
      </c>
      <c r="C42" s="7">
        <v>15</v>
      </c>
      <c r="E42" s="7" t="s">
        <v>104</v>
      </c>
      <c r="F42" s="7">
        <v>3</v>
      </c>
    </row>
    <row r="43" spans="2:6" x14ac:dyDescent="0.3">
      <c r="B43" s="7" t="s">
        <v>25</v>
      </c>
      <c r="C43" s="7">
        <v>6</v>
      </c>
      <c r="E43" s="7" t="s">
        <v>105</v>
      </c>
      <c r="F43" s="7">
        <v>3</v>
      </c>
    </row>
    <row r="44" spans="2:6" ht="28.8" customHeight="1" x14ac:dyDescent="0.3">
      <c r="B44" s="7" t="s">
        <v>29</v>
      </c>
      <c r="C44" s="7">
        <v>6</v>
      </c>
      <c r="E44" s="7" t="s">
        <v>106</v>
      </c>
      <c r="F44" s="7">
        <v>1</v>
      </c>
    </row>
    <row r="45" spans="2:6" x14ac:dyDescent="0.3">
      <c r="B45" s="7" t="s">
        <v>35</v>
      </c>
      <c r="C45" s="7">
        <v>4</v>
      </c>
    </row>
  </sheetData>
  <mergeCells count="8">
    <mergeCell ref="B25:L29"/>
    <mergeCell ref="H32:L32"/>
    <mergeCell ref="A3:L4"/>
    <mergeCell ref="A5:L5"/>
    <mergeCell ref="B8:C10"/>
    <mergeCell ref="E8:F10"/>
    <mergeCell ref="H8:I10"/>
    <mergeCell ref="K8:L1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178D-B3EE-46CC-BB28-D91D45C6F056}">
  <dimension ref="A1:A51"/>
  <sheetViews>
    <sheetView topLeftCell="A31" workbookViewId="0">
      <selection sqref="A1:A51"/>
    </sheetView>
  </sheetViews>
  <sheetFormatPr defaultRowHeight="14.4" x14ac:dyDescent="0.3"/>
  <cols>
    <col min="1" max="1" width="182.77734375" bestFit="1" customWidth="1"/>
  </cols>
  <sheetData>
    <row r="1" spans="1:1" ht="22.8" customHeight="1" x14ac:dyDescent="0.3">
      <c r="A1" s="10" t="s">
        <v>108</v>
      </c>
    </row>
    <row r="2" spans="1:1" ht="14.4" customHeight="1" x14ac:dyDescent="0.3">
      <c r="A2" s="10"/>
    </row>
    <row r="3" spans="1:1" ht="14.4" customHeight="1" x14ac:dyDescent="0.3">
      <c r="A3" s="10"/>
    </row>
    <row r="4" spans="1:1" ht="14.4" customHeight="1" x14ac:dyDescent="0.3">
      <c r="A4" s="10"/>
    </row>
    <row r="5" spans="1:1" ht="14.4" customHeight="1" x14ac:dyDescent="0.3">
      <c r="A5" s="10"/>
    </row>
    <row r="6" spans="1:1" ht="14.4" customHeight="1" x14ac:dyDescent="0.3">
      <c r="A6" s="10"/>
    </row>
    <row r="7" spans="1:1" ht="14.4" customHeight="1" x14ac:dyDescent="0.3">
      <c r="A7" s="10"/>
    </row>
    <row r="8" spans="1:1" ht="14.4" customHeight="1" x14ac:dyDescent="0.3">
      <c r="A8" s="10"/>
    </row>
    <row r="9" spans="1:1" ht="14.4" customHeight="1" x14ac:dyDescent="0.3">
      <c r="A9" s="10"/>
    </row>
    <row r="10" spans="1:1" ht="14.4" customHeight="1" x14ac:dyDescent="0.3">
      <c r="A10" s="10"/>
    </row>
    <row r="11" spans="1:1" ht="14.4" customHeight="1" x14ac:dyDescent="0.3">
      <c r="A11" s="10"/>
    </row>
    <row r="12" spans="1:1" ht="14.4" customHeight="1" x14ac:dyDescent="0.3">
      <c r="A12" s="10"/>
    </row>
    <row r="13" spans="1:1" ht="14.4" customHeight="1" x14ac:dyDescent="0.3">
      <c r="A13" s="10"/>
    </row>
    <row r="14" spans="1:1" ht="14.4" customHeight="1" x14ac:dyDescent="0.3">
      <c r="A14" s="10"/>
    </row>
    <row r="15" spans="1:1" ht="14.4" customHeight="1" x14ac:dyDescent="0.3">
      <c r="A15" s="10"/>
    </row>
    <row r="16" spans="1:1" ht="14.4" customHeight="1" x14ac:dyDescent="0.3">
      <c r="A16" s="10"/>
    </row>
    <row r="17" spans="1:1" ht="14.4" customHeight="1" x14ac:dyDescent="0.3">
      <c r="A17" s="10"/>
    </row>
    <row r="18" spans="1:1" ht="14.4" customHeight="1" x14ac:dyDescent="0.3">
      <c r="A18" s="10"/>
    </row>
    <row r="19" spans="1:1" ht="14.4" customHeight="1" x14ac:dyDescent="0.3">
      <c r="A19" s="10"/>
    </row>
    <row r="20" spans="1:1" ht="14.4" customHeight="1" x14ac:dyDescent="0.3">
      <c r="A20" s="10"/>
    </row>
    <row r="21" spans="1:1" ht="14.4" customHeight="1" x14ac:dyDescent="0.3">
      <c r="A21" s="10"/>
    </row>
    <row r="22" spans="1:1" ht="14.4" customHeight="1" x14ac:dyDescent="0.3">
      <c r="A22" s="10"/>
    </row>
    <row r="23" spans="1:1" ht="14.4" customHeight="1" x14ac:dyDescent="0.3">
      <c r="A23" s="10"/>
    </row>
    <row r="24" spans="1:1" ht="14.4" customHeight="1" x14ac:dyDescent="0.3">
      <c r="A24" s="10"/>
    </row>
    <row r="25" spans="1:1" ht="14.4" customHeight="1" x14ac:dyDescent="0.3">
      <c r="A25" s="10"/>
    </row>
    <row r="26" spans="1:1" ht="14.4" customHeight="1" x14ac:dyDescent="0.3">
      <c r="A26" s="10"/>
    </row>
    <row r="27" spans="1:1" ht="14.4" customHeight="1" x14ac:dyDescent="0.3">
      <c r="A27" s="10"/>
    </row>
    <row r="28" spans="1:1" ht="14.4" customHeight="1" x14ac:dyDescent="0.3">
      <c r="A28" s="10"/>
    </row>
    <row r="29" spans="1:1" x14ac:dyDescent="0.3">
      <c r="A29" s="10"/>
    </row>
    <row r="30" spans="1:1" x14ac:dyDescent="0.3">
      <c r="A30" s="10"/>
    </row>
    <row r="31" spans="1:1" x14ac:dyDescent="0.3">
      <c r="A31" s="10"/>
    </row>
    <row r="32" spans="1:1" x14ac:dyDescent="0.3">
      <c r="A32" s="10"/>
    </row>
    <row r="33" spans="1:1" x14ac:dyDescent="0.3">
      <c r="A33" s="10"/>
    </row>
    <row r="34" spans="1:1" x14ac:dyDescent="0.3">
      <c r="A34" s="10"/>
    </row>
    <row r="35" spans="1:1" x14ac:dyDescent="0.3">
      <c r="A35" s="10"/>
    </row>
    <row r="36" spans="1:1" x14ac:dyDescent="0.3">
      <c r="A36" s="10"/>
    </row>
    <row r="37" spans="1:1" x14ac:dyDescent="0.3">
      <c r="A37" s="10"/>
    </row>
    <row r="38" spans="1:1" x14ac:dyDescent="0.3">
      <c r="A38" s="10"/>
    </row>
    <row r="39" spans="1:1" x14ac:dyDescent="0.3">
      <c r="A39" s="10"/>
    </row>
    <row r="40" spans="1:1" x14ac:dyDescent="0.3">
      <c r="A40" s="10"/>
    </row>
    <row r="41" spans="1:1" x14ac:dyDescent="0.3">
      <c r="A41" s="10"/>
    </row>
    <row r="42" spans="1:1" x14ac:dyDescent="0.3">
      <c r="A42" s="10"/>
    </row>
    <row r="43" spans="1:1" x14ac:dyDescent="0.3">
      <c r="A43" s="10"/>
    </row>
    <row r="44" spans="1:1" x14ac:dyDescent="0.3">
      <c r="A44" s="10"/>
    </row>
    <row r="45" spans="1:1" x14ac:dyDescent="0.3">
      <c r="A45" s="10"/>
    </row>
    <row r="46" spans="1:1" x14ac:dyDescent="0.3">
      <c r="A46" s="10"/>
    </row>
    <row r="47" spans="1:1" x14ac:dyDescent="0.3">
      <c r="A47" s="10"/>
    </row>
    <row r="48" spans="1:1" x14ac:dyDescent="0.3">
      <c r="A48" s="10"/>
    </row>
    <row r="49" spans="1:1" x14ac:dyDescent="0.3">
      <c r="A49" s="10"/>
    </row>
    <row r="50" spans="1:1" x14ac:dyDescent="0.3">
      <c r="A50" s="10"/>
    </row>
    <row r="51" spans="1:1" x14ac:dyDescent="0.3">
      <c r="A51" s="10"/>
    </row>
  </sheetData>
  <mergeCells count="1">
    <mergeCell ref="A1:A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DDC5-B94D-492D-A42F-D53FA4EE9D88}">
  <dimension ref="A1:K32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6.6640625" customWidth="1"/>
    <col min="2" max="2" width="12.5546875" bestFit="1" customWidth="1"/>
    <col min="3" max="3" width="16.44140625" customWidth="1"/>
    <col min="4" max="4" width="11.88671875" customWidth="1"/>
    <col min="5" max="5" width="23.33203125" bestFit="1" customWidth="1"/>
    <col min="6" max="6" width="9.88671875" customWidth="1"/>
    <col min="7" max="7" width="10.21875" customWidth="1"/>
    <col min="8" max="8" width="9.109375" customWidth="1"/>
    <col min="9" max="9" width="12.88671875" style="9" customWidth="1"/>
    <col min="10" max="10" width="14.109375" customWidth="1"/>
    <col min="11" max="11" width="8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46113</v>
      </c>
      <c r="C2" s="1">
        <v>46115</v>
      </c>
      <c r="D2" t="s">
        <v>12</v>
      </c>
      <c r="E2" t="s">
        <v>13</v>
      </c>
      <c r="F2" t="s">
        <v>14</v>
      </c>
      <c r="G2">
        <v>100</v>
      </c>
      <c r="H2">
        <v>190</v>
      </c>
      <c r="I2" s="9">
        <v>19000</v>
      </c>
      <c r="J2" t="s">
        <v>15</v>
      </c>
      <c r="K2" t="s">
        <v>16</v>
      </c>
    </row>
    <row r="3" spans="1:11" x14ac:dyDescent="0.3">
      <c r="A3" t="s">
        <v>17</v>
      </c>
      <c r="B3" s="1">
        <v>46113</v>
      </c>
      <c r="C3" s="1">
        <v>46115</v>
      </c>
      <c r="D3" t="s">
        <v>12</v>
      </c>
      <c r="E3" t="s">
        <v>18</v>
      </c>
      <c r="F3" t="s">
        <v>19</v>
      </c>
      <c r="G3">
        <v>75</v>
      </c>
      <c r="H3">
        <v>410</v>
      </c>
      <c r="I3" s="9">
        <v>30750</v>
      </c>
      <c r="J3" t="s">
        <v>20</v>
      </c>
      <c r="K3" t="s">
        <v>16</v>
      </c>
    </row>
    <row r="4" spans="1:11" x14ac:dyDescent="0.3">
      <c r="A4" t="s">
        <v>21</v>
      </c>
      <c r="B4" s="1">
        <v>46114</v>
      </c>
      <c r="C4" s="1">
        <v>46118</v>
      </c>
      <c r="D4" t="s">
        <v>12</v>
      </c>
      <c r="E4" t="s">
        <v>22</v>
      </c>
      <c r="F4" t="s">
        <v>14</v>
      </c>
      <c r="G4">
        <v>50</v>
      </c>
      <c r="H4">
        <v>175</v>
      </c>
      <c r="I4" s="9">
        <v>8750</v>
      </c>
      <c r="J4" t="s">
        <v>23</v>
      </c>
      <c r="K4" t="s">
        <v>16</v>
      </c>
    </row>
    <row r="5" spans="1:11" x14ac:dyDescent="0.3">
      <c r="A5" t="s">
        <v>24</v>
      </c>
      <c r="B5" s="1">
        <v>46114</v>
      </c>
      <c r="C5" s="1">
        <v>46118</v>
      </c>
      <c r="D5" t="s">
        <v>25</v>
      </c>
      <c r="E5" t="s">
        <v>26</v>
      </c>
      <c r="F5" t="s">
        <v>14</v>
      </c>
      <c r="G5">
        <v>120</v>
      </c>
      <c r="H5">
        <v>515</v>
      </c>
      <c r="I5" s="9">
        <v>61800</v>
      </c>
      <c r="J5" t="s">
        <v>27</v>
      </c>
      <c r="K5" t="s">
        <v>16</v>
      </c>
    </row>
    <row r="6" spans="1:11" x14ac:dyDescent="0.3">
      <c r="A6" t="s">
        <v>97</v>
      </c>
      <c r="B6" s="1">
        <v>46114</v>
      </c>
      <c r="C6" s="1">
        <v>46119</v>
      </c>
      <c r="D6" t="s">
        <v>12</v>
      </c>
      <c r="E6" t="s">
        <v>99</v>
      </c>
      <c r="F6" t="s">
        <v>14</v>
      </c>
      <c r="G6">
        <v>1000</v>
      </c>
      <c r="H6">
        <v>42.5</v>
      </c>
      <c r="I6" s="9">
        <f>Table2[[#This Row],[Quantity]]*Table2[[#This Row],[Price]]</f>
        <v>42500</v>
      </c>
      <c r="J6" t="s">
        <v>20</v>
      </c>
      <c r="K6" t="s">
        <v>16</v>
      </c>
    </row>
    <row r="7" spans="1:11" x14ac:dyDescent="0.3">
      <c r="A7" t="s">
        <v>28</v>
      </c>
      <c r="B7" s="1">
        <v>46115</v>
      </c>
      <c r="C7" s="1">
        <v>46119</v>
      </c>
      <c r="D7" t="s">
        <v>29</v>
      </c>
      <c r="E7" t="s">
        <v>30</v>
      </c>
      <c r="F7" t="s">
        <v>14</v>
      </c>
      <c r="G7">
        <v>200</v>
      </c>
      <c r="H7">
        <v>98.5</v>
      </c>
      <c r="I7" s="9">
        <v>19700</v>
      </c>
      <c r="J7" t="s">
        <v>31</v>
      </c>
      <c r="K7" t="s">
        <v>16</v>
      </c>
    </row>
    <row r="8" spans="1:11" x14ac:dyDescent="0.3">
      <c r="A8" t="s">
        <v>32</v>
      </c>
      <c r="B8" s="1">
        <v>46115</v>
      </c>
      <c r="C8" s="1">
        <v>46119</v>
      </c>
      <c r="D8" t="s">
        <v>12</v>
      </c>
      <c r="E8" t="s">
        <v>33</v>
      </c>
      <c r="F8" t="s">
        <v>19</v>
      </c>
      <c r="G8">
        <v>60</v>
      </c>
      <c r="H8">
        <v>185</v>
      </c>
      <c r="I8" s="9">
        <v>11100</v>
      </c>
      <c r="J8" t="s">
        <v>15</v>
      </c>
      <c r="K8" t="s">
        <v>16</v>
      </c>
    </row>
    <row r="9" spans="1:11" x14ac:dyDescent="0.3">
      <c r="A9" t="s">
        <v>34</v>
      </c>
      <c r="B9" s="1">
        <v>46118</v>
      </c>
      <c r="C9" s="1">
        <v>46120</v>
      </c>
      <c r="D9" t="s">
        <v>35</v>
      </c>
      <c r="E9" t="s">
        <v>36</v>
      </c>
      <c r="F9" t="s">
        <v>14</v>
      </c>
      <c r="G9">
        <v>10</v>
      </c>
      <c r="H9">
        <v>5250</v>
      </c>
      <c r="I9" s="9">
        <v>52500</v>
      </c>
      <c r="J9" t="s">
        <v>20</v>
      </c>
      <c r="K9" t="s">
        <v>37</v>
      </c>
    </row>
    <row r="10" spans="1:11" x14ac:dyDescent="0.3">
      <c r="A10" t="s">
        <v>38</v>
      </c>
      <c r="B10" s="1">
        <v>46118</v>
      </c>
      <c r="C10" s="1">
        <v>46120</v>
      </c>
      <c r="D10" t="s">
        <v>12</v>
      </c>
      <c r="E10" t="s">
        <v>39</v>
      </c>
      <c r="F10" t="s">
        <v>14</v>
      </c>
      <c r="G10">
        <v>40</v>
      </c>
      <c r="H10">
        <v>880</v>
      </c>
      <c r="I10" s="9">
        <v>35200</v>
      </c>
      <c r="J10" t="s">
        <v>23</v>
      </c>
      <c r="K10" t="s">
        <v>16</v>
      </c>
    </row>
    <row r="11" spans="1:11" x14ac:dyDescent="0.3">
      <c r="A11" t="s">
        <v>40</v>
      </c>
      <c r="B11" s="1">
        <v>46119</v>
      </c>
      <c r="C11" s="1">
        <v>46121</v>
      </c>
      <c r="D11" t="s">
        <v>25</v>
      </c>
      <c r="E11" t="s">
        <v>41</v>
      </c>
      <c r="F11" t="s">
        <v>19</v>
      </c>
      <c r="G11">
        <v>90</v>
      </c>
      <c r="H11">
        <v>440</v>
      </c>
      <c r="I11" s="9">
        <v>39600</v>
      </c>
      <c r="J11" t="s">
        <v>27</v>
      </c>
      <c r="K11" t="s">
        <v>16</v>
      </c>
    </row>
    <row r="12" spans="1:11" x14ac:dyDescent="0.3">
      <c r="A12" t="s">
        <v>42</v>
      </c>
      <c r="B12" s="1">
        <v>46119</v>
      </c>
      <c r="C12" s="1">
        <v>46121</v>
      </c>
      <c r="D12" t="s">
        <v>29</v>
      </c>
      <c r="E12" t="s">
        <v>43</v>
      </c>
      <c r="F12" t="s">
        <v>14</v>
      </c>
      <c r="G12">
        <v>150</v>
      </c>
      <c r="H12">
        <v>101.2</v>
      </c>
      <c r="I12" s="9">
        <v>15180</v>
      </c>
      <c r="J12" t="s">
        <v>31</v>
      </c>
      <c r="K12" t="s">
        <v>16</v>
      </c>
    </row>
    <row r="13" spans="1:11" x14ac:dyDescent="0.3">
      <c r="A13" t="s">
        <v>44</v>
      </c>
      <c r="B13" s="1">
        <v>46120</v>
      </c>
      <c r="C13" s="1">
        <v>46122</v>
      </c>
      <c r="D13" t="s">
        <v>12</v>
      </c>
      <c r="E13" t="s">
        <v>45</v>
      </c>
      <c r="F13" t="s">
        <v>14</v>
      </c>
      <c r="G13">
        <v>55</v>
      </c>
      <c r="H13">
        <v>485</v>
      </c>
      <c r="I13" s="9">
        <v>26675</v>
      </c>
      <c r="J13" t="s">
        <v>15</v>
      </c>
      <c r="K13" t="s">
        <v>16</v>
      </c>
    </row>
    <row r="14" spans="1:11" x14ac:dyDescent="0.3">
      <c r="A14" t="s">
        <v>46</v>
      </c>
      <c r="B14" s="1">
        <v>46120</v>
      </c>
      <c r="C14" s="1">
        <v>46122</v>
      </c>
      <c r="D14" t="s">
        <v>12</v>
      </c>
      <c r="E14" t="s">
        <v>47</v>
      </c>
      <c r="F14" t="s">
        <v>19</v>
      </c>
      <c r="G14">
        <v>30</v>
      </c>
      <c r="H14">
        <v>610</v>
      </c>
      <c r="I14" s="9">
        <v>18300</v>
      </c>
      <c r="J14" t="s">
        <v>20</v>
      </c>
      <c r="K14" t="s">
        <v>16</v>
      </c>
    </row>
    <row r="15" spans="1:11" x14ac:dyDescent="0.3">
      <c r="A15" t="s">
        <v>48</v>
      </c>
      <c r="B15" s="1">
        <v>46121</v>
      </c>
      <c r="C15" s="1">
        <v>46125</v>
      </c>
      <c r="D15" t="s">
        <v>25</v>
      </c>
      <c r="E15" t="s">
        <v>49</v>
      </c>
      <c r="F15" t="s">
        <v>14</v>
      </c>
      <c r="G15">
        <v>100</v>
      </c>
      <c r="H15">
        <v>205</v>
      </c>
      <c r="I15" s="9">
        <v>20500</v>
      </c>
      <c r="J15" t="s">
        <v>23</v>
      </c>
      <c r="K15" t="s">
        <v>16</v>
      </c>
    </row>
    <row r="16" spans="1:11" x14ac:dyDescent="0.3">
      <c r="A16" t="s">
        <v>50</v>
      </c>
      <c r="B16" s="1">
        <v>46121</v>
      </c>
      <c r="C16" s="1">
        <v>46125</v>
      </c>
      <c r="D16" t="s">
        <v>29</v>
      </c>
      <c r="E16" t="s">
        <v>51</v>
      </c>
      <c r="F16" t="s">
        <v>14</v>
      </c>
      <c r="G16">
        <v>250</v>
      </c>
      <c r="H16">
        <v>99.8</v>
      </c>
      <c r="I16" s="9">
        <v>24950</v>
      </c>
      <c r="J16" t="s">
        <v>27</v>
      </c>
      <c r="K16" t="s">
        <v>16</v>
      </c>
    </row>
    <row r="17" spans="1:11" x14ac:dyDescent="0.3">
      <c r="A17" t="s">
        <v>52</v>
      </c>
      <c r="B17" s="1">
        <v>46122</v>
      </c>
      <c r="C17" s="1">
        <v>46126</v>
      </c>
      <c r="D17" t="s">
        <v>35</v>
      </c>
      <c r="E17" t="s">
        <v>53</v>
      </c>
      <c r="F17" t="s">
        <v>19</v>
      </c>
      <c r="G17">
        <v>15</v>
      </c>
      <c r="H17">
        <v>82</v>
      </c>
      <c r="I17" s="9">
        <v>1230</v>
      </c>
      <c r="J17" t="s">
        <v>31</v>
      </c>
      <c r="K17" t="s">
        <v>54</v>
      </c>
    </row>
    <row r="18" spans="1:11" x14ac:dyDescent="0.3">
      <c r="A18" t="s">
        <v>55</v>
      </c>
      <c r="B18" s="1">
        <v>46122</v>
      </c>
      <c r="C18" s="1">
        <v>46126</v>
      </c>
      <c r="D18" t="s">
        <v>12</v>
      </c>
      <c r="E18" t="s">
        <v>56</v>
      </c>
      <c r="F18" t="s">
        <v>14</v>
      </c>
      <c r="G18">
        <v>80</v>
      </c>
      <c r="H18">
        <v>198</v>
      </c>
      <c r="I18" s="9">
        <v>15840</v>
      </c>
      <c r="J18" t="s">
        <v>15</v>
      </c>
      <c r="K18" t="s">
        <v>16</v>
      </c>
    </row>
    <row r="19" spans="1:11" x14ac:dyDescent="0.3">
      <c r="A19" t="s">
        <v>57</v>
      </c>
      <c r="B19" s="1">
        <v>46125</v>
      </c>
      <c r="C19" s="1">
        <v>46127</v>
      </c>
      <c r="D19" t="s">
        <v>12</v>
      </c>
      <c r="E19" t="s">
        <v>58</v>
      </c>
      <c r="F19" t="s">
        <v>19</v>
      </c>
      <c r="G19">
        <v>200</v>
      </c>
      <c r="H19">
        <v>38</v>
      </c>
      <c r="I19" s="9">
        <v>7600</v>
      </c>
      <c r="J19" t="s">
        <v>20</v>
      </c>
      <c r="K19" t="s">
        <v>16</v>
      </c>
    </row>
    <row r="20" spans="1:11" x14ac:dyDescent="0.3">
      <c r="A20" t="s">
        <v>59</v>
      </c>
      <c r="B20" s="1">
        <v>46125</v>
      </c>
      <c r="C20" s="1">
        <v>46127</v>
      </c>
      <c r="D20" t="s">
        <v>25</v>
      </c>
      <c r="E20" t="s">
        <v>60</v>
      </c>
      <c r="F20" t="s">
        <v>14</v>
      </c>
      <c r="G20">
        <v>70</v>
      </c>
      <c r="H20">
        <v>255</v>
      </c>
      <c r="I20" s="9">
        <v>17850</v>
      </c>
      <c r="J20" t="s">
        <v>23</v>
      </c>
      <c r="K20" t="s">
        <v>37</v>
      </c>
    </row>
    <row r="21" spans="1:11" x14ac:dyDescent="0.3">
      <c r="A21" t="s">
        <v>61</v>
      </c>
      <c r="B21" s="1">
        <v>46126</v>
      </c>
      <c r="C21" s="1">
        <v>46128</v>
      </c>
      <c r="D21" t="s">
        <v>29</v>
      </c>
      <c r="E21" t="s">
        <v>62</v>
      </c>
      <c r="F21" t="s">
        <v>14</v>
      </c>
      <c r="G21">
        <v>300</v>
      </c>
      <c r="H21">
        <v>99.1</v>
      </c>
      <c r="I21" s="9">
        <v>29730</v>
      </c>
      <c r="J21" t="s">
        <v>27</v>
      </c>
      <c r="K21" t="s">
        <v>16</v>
      </c>
    </row>
    <row r="22" spans="1:11" x14ac:dyDescent="0.3">
      <c r="A22" t="s">
        <v>63</v>
      </c>
      <c r="B22" s="1">
        <v>46126</v>
      </c>
      <c r="C22" s="1">
        <v>46128</v>
      </c>
      <c r="D22" t="s">
        <v>12</v>
      </c>
      <c r="E22" t="s">
        <v>64</v>
      </c>
      <c r="F22" t="s">
        <v>14</v>
      </c>
      <c r="G22">
        <v>45</v>
      </c>
      <c r="H22">
        <v>160</v>
      </c>
      <c r="I22" s="9">
        <v>7200</v>
      </c>
      <c r="J22" t="s">
        <v>31</v>
      </c>
      <c r="K22" t="s">
        <v>16</v>
      </c>
    </row>
    <row r="23" spans="1:11" x14ac:dyDescent="0.3">
      <c r="A23" t="s">
        <v>65</v>
      </c>
      <c r="B23" s="1">
        <v>46127</v>
      </c>
      <c r="C23" s="1">
        <v>46129</v>
      </c>
      <c r="D23" t="s">
        <v>35</v>
      </c>
      <c r="E23" t="s">
        <v>66</v>
      </c>
      <c r="F23" t="s">
        <v>19</v>
      </c>
      <c r="G23">
        <v>8</v>
      </c>
      <c r="H23">
        <v>18200</v>
      </c>
      <c r="I23" s="9">
        <v>145600</v>
      </c>
      <c r="J23" t="s">
        <v>15</v>
      </c>
      <c r="K23" t="s">
        <v>16</v>
      </c>
    </row>
    <row r="24" spans="1:11" x14ac:dyDescent="0.3">
      <c r="A24" t="s">
        <v>67</v>
      </c>
      <c r="B24" s="1">
        <v>46127</v>
      </c>
      <c r="C24" s="1">
        <v>46129</v>
      </c>
      <c r="D24" t="s">
        <v>12</v>
      </c>
      <c r="E24" t="s">
        <v>68</v>
      </c>
      <c r="F24" t="s">
        <v>14</v>
      </c>
      <c r="G24">
        <v>65</v>
      </c>
      <c r="H24">
        <v>275</v>
      </c>
      <c r="I24" s="9">
        <v>17875</v>
      </c>
      <c r="J24" t="s">
        <v>20</v>
      </c>
      <c r="K24" t="s">
        <v>16</v>
      </c>
    </row>
    <row r="25" spans="1:11" x14ac:dyDescent="0.3">
      <c r="A25" t="s">
        <v>69</v>
      </c>
      <c r="B25" s="1">
        <v>46128</v>
      </c>
      <c r="C25" s="1">
        <v>46132</v>
      </c>
      <c r="D25" t="s">
        <v>25</v>
      </c>
      <c r="E25" t="s">
        <v>70</v>
      </c>
      <c r="F25" t="s">
        <v>14</v>
      </c>
      <c r="G25">
        <v>110</v>
      </c>
      <c r="H25">
        <v>78</v>
      </c>
      <c r="I25" s="9">
        <v>8580</v>
      </c>
      <c r="J25" t="s">
        <v>23</v>
      </c>
      <c r="K25" t="s">
        <v>16</v>
      </c>
    </row>
    <row r="26" spans="1:11" x14ac:dyDescent="0.3">
      <c r="A26" t="s">
        <v>71</v>
      </c>
      <c r="B26" s="1">
        <v>46128</v>
      </c>
      <c r="C26" s="1">
        <v>46132</v>
      </c>
      <c r="D26" t="s">
        <v>29</v>
      </c>
      <c r="E26" t="s">
        <v>72</v>
      </c>
      <c r="F26" t="s">
        <v>19</v>
      </c>
      <c r="G26">
        <v>180</v>
      </c>
      <c r="H26">
        <v>102.4</v>
      </c>
      <c r="I26" s="9">
        <v>18432</v>
      </c>
      <c r="J26" t="s">
        <v>27</v>
      </c>
      <c r="K26" t="s">
        <v>16</v>
      </c>
    </row>
    <row r="27" spans="1:11" x14ac:dyDescent="0.3">
      <c r="A27" t="s">
        <v>73</v>
      </c>
      <c r="B27" s="1">
        <v>46129</v>
      </c>
      <c r="C27" s="1">
        <v>46133</v>
      </c>
      <c r="D27" t="s">
        <v>12</v>
      </c>
      <c r="E27" t="s">
        <v>74</v>
      </c>
      <c r="F27" t="s">
        <v>14</v>
      </c>
      <c r="G27">
        <v>35</v>
      </c>
      <c r="H27">
        <v>285</v>
      </c>
      <c r="I27" s="9">
        <v>9975</v>
      </c>
      <c r="J27" t="s">
        <v>31</v>
      </c>
      <c r="K27" t="s">
        <v>16</v>
      </c>
    </row>
    <row r="28" spans="1:11" x14ac:dyDescent="0.3">
      <c r="A28" t="s">
        <v>75</v>
      </c>
      <c r="B28" s="1">
        <v>46129</v>
      </c>
      <c r="C28" s="1">
        <v>46133</v>
      </c>
      <c r="D28" t="s">
        <v>12</v>
      </c>
      <c r="E28" t="s">
        <v>76</v>
      </c>
      <c r="F28" t="s">
        <v>19</v>
      </c>
      <c r="G28">
        <v>25</v>
      </c>
      <c r="H28">
        <v>470</v>
      </c>
      <c r="I28" s="9">
        <v>11750</v>
      </c>
      <c r="J28" t="s">
        <v>15</v>
      </c>
      <c r="K28" t="s">
        <v>16</v>
      </c>
    </row>
    <row r="29" spans="1:11" x14ac:dyDescent="0.3">
      <c r="A29" t="s">
        <v>77</v>
      </c>
      <c r="B29" s="1">
        <v>46132</v>
      </c>
      <c r="C29" s="1">
        <v>46134</v>
      </c>
      <c r="D29" t="s">
        <v>35</v>
      </c>
      <c r="E29" t="s">
        <v>78</v>
      </c>
      <c r="F29" t="s">
        <v>14</v>
      </c>
      <c r="G29">
        <v>12</v>
      </c>
      <c r="H29">
        <v>2350</v>
      </c>
      <c r="I29" s="9">
        <v>28200</v>
      </c>
      <c r="J29" t="s">
        <v>20</v>
      </c>
      <c r="K29" t="s">
        <v>54</v>
      </c>
    </row>
    <row r="30" spans="1:11" x14ac:dyDescent="0.3">
      <c r="A30" t="s">
        <v>79</v>
      </c>
      <c r="B30" s="1">
        <v>46132</v>
      </c>
      <c r="C30" s="1">
        <v>46134</v>
      </c>
      <c r="D30" t="s">
        <v>25</v>
      </c>
      <c r="E30" t="s">
        <v>80</v>
      </c>
      <c r="F30" t="s">
        <v>14</v>
      </c>
      <c r="G30">
        <v>95</v>
      </c>
      <c r="H30">
        <v>48</v>
      </c>
      <c r="I30" s="9">
        <v>4560</v>
      </c>
      <c r="J30" t="s">
        <v>23</v>
      </c>
      <c r="K30" t="s">
        <v>16</v>
      </c>
    </row>
    <row r="31" spans="1:11" x14ac:dyDescent="0.3">
      <c r="A31" t="s">
        <v>81</v>
      </c>
      <c r="B31" s="1">
        <v>46133</v>
      </c>
      <c r="C31" s="1">
        <v>46135</v>
      </c>
      <c r="D31" t="s">
        <v>29</v>
      </c>
      <c r="E31" t="s">
        <v>82</v>
      </c>
      <c r="F31" t="s">
        <v>19</v>
      </c>
      <c r="G31">
        <v>130</v>
      </c>
      <c r="H31">
        <v>76</v>
      </c>
      <c r="I31" s="9">
        <v>9880</v>
      </c>
      <c r="J31" t="s">
        <v>27</v>
      </c>
      <c r="K31" t="s">
        <v>16</v>
      </c>
    </row>
    <row r="32" spans="1:11" x14ac:dyDescent="0.3">
      <c r="A32" t="s">
        <v>83</v>
      </c>
      <c r="B32" s="1">
        <v>46133</v>
      </c>
      <c r="C32" s="1">
        <v>46135</v>
      </c>
      <c r="D32" t="s">
        <v>12</v>
      </c>
      <c r="E32" t="s">
        <v>84</v>
      </c>
      <c r="F32" t="s">
        <v>14</v>
      </c>
      <c r="G32">
        <v>28</v>
      </c>
      <c r="H32">
        <v>525</v>
      </c>
      <c r="I32" s="9">
        <v>14700</v>
      </c>
      <c r="J32" t="s">
        <v>31</v>
      </c>
      <c r="K32" t="s">
        <v>16</v>
      </c>
    </row>
  </sheetData>
  <conditionalFormatting sqref="A1:K1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377A-22F3-494C-B75E-C1F431485E43}">
  <dimension ref="A1:K32"/>
  <sheetViews>
    <sheetView workbookViewId="0">
      <pane ySplit="1" topLeftCell="A2" activePane="bottomLeft" state="frozen"/>
      <selection pane="bottomLeft" activeCell="I1" sqref="I1:I1048576"/>
    </sheetView>
  </sheetViews>
  <sheetFormatPr defaultRowHeight="14.4" x14ac:dyDescent="0.3"/>
  <cols>
    <col min="1" max="1" width="9.88671875" customWidth="1"/>
    <col min="2" max="2" width="12" style="1" customWidth="1"/>
    <col min="3" max="3" width="16.44140625" style="1" customWidth="1"/>
    <col min="4" max="4" width="11.88671875" customWidth="1"/>
    <col min="5" max="5" width="15.109375" customWidth="1"/>
    <col min="6" max="6" width="9.88671875" customWidth="1"/>
    <col min="7" max="7" width="10.21875" customWidth="1"/>
    <col min="9" max="9" width="12.88671875" style="9" customWidth="1"/>
    <col min="10" max="10" width="14.109375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46113</v>
      </c>
      <c r="C2" s="1">
        <v>46115</v>
      </c>
      <c r="D2" t="s">
        <v>12</v>
      </c>
      <c r="E2" t="s">
        <v>13</v>
      </c>
      <c r="F2" t="s">
        <v>14</v>
      </c>
      <c r="G2">
        <v>100</v>
      </c>
      <c r="H2">
        <v>190</v>
      </c>
      <c r="I2" s="9">
        <v>19000</v>
      </c>
      <c r="J2" t="s">
        <v>15</v>
      </c>
      <c r="K2" t="s">
        <v>16</v>
      </c>
    </row>
    <row r="3" spans="1:11" x14ac:dyDescent="0.3">
      <c r="A3" t="s">
        <v>17</v>
      </c>
      <c r="B3" s="1">
        <v>46113</v>
      </c>
      <c r="C3" s="1">
        <v>46115</v>
      </c>
      <c r="D3" t="s">
        <v>12</v>
      </c>
      <c r="E3" t="s">
        <v>18</v>
      </c>
      <c r="F3" t="s">
        <v>19</v>
      </c>
      <c r="G3">
        <v>75</v>
      </c>
      <c r="H3">
        <v>410</v>
      </c>
      <c r="I3" s="9">
        <v>30750</v>
      </c>
      <c r="J3" t="s">
        <v>20</v>
      </c>
      <c r="K3" t="s">
        <v>16</v>
      </c>
    </row>
    <row r="4" spans="1:11" x14ac:dyDescent="0.3">
      <c r="A4" t="s">
        <v>21</v>
      </c>
      <c r="B4" s="1">
        <v>46114</v>
      </c>
      <c r="C4" s="1">
        <v>46118</v>
      </c>
      <c r="D4" t="s">
        <v>12</v>
      </c>
      <c r="E4" t="s">
        <v>22</v>
      </c>
      <c r="F4" t="s">
        <v>14</v>
      </c>
      <c r="G4">
        <v>50</v>
      </c>
      <c r="H4">
        <v>175</v>
      </c>
      <c r="I4" s="9">
        <v>8750</v>
      </c>
      <c r="J4" t="s">
        <v>23</v>
      </c>
      <c r="K4" t="s">
        <v>16</v>
      </c>
    </row>
    <row r="5" spans="1:11" x14ac:dyDescent="0.3">
      <c r="A5" t="s">
        <v>24</v>
      </c>
      <c r="B5" s="1">
        <v>46114</v>
      </c>
      <c r="C5" s="1">
        <v>46118</v>
      </c>
      <c r="D5" t="s">
        <v>25</v>
      </c>
      <c r="E5" t="s">
        <v>26</v>
      </c>
      <c r="F5" t="s">
        <v>14</v>
      </c>
      <c r="G5">
        <v>120</v>
      </c>
      <c r="H5">
        <v>515</v>
      </c>
      <c r="I5" s="9">
        <v>61800</v>
      </c>
      <c r="J5" t="s">
        <v>27</v>
      </c>
      <c r="K5" t="s">
        <v>16</v>
      </c>
    </row>
    <row r="6" spans="1:11" x14ac:dyDescent="0.3">
      <c r="A6" t="s">
        <v>97</v>
      </c>
      <c r="B6" s="1">
        <v>46114</v>
      </c>
      <c r="C6" s="1">
        <v>46119</v>
      </c>
      <c r="D6" t="s">
        <v>12</v>
      </c>
      <c r="E6" t="s">
        <v>98</v>
      </c>
      <c r="F6" t="s">
        <v>14</v>
      </c>
      <c r="G6">
        <v>10000</v>
      </c>
      <c r="H6">
        <v>42.5</v>
      </c>
      <c r="I6" s="9">
        <f>Table3[[#This Row],[Quantity]]*Table3[[#This Row],[Price]]</f>
        <v>425000</v>
      </c>
      <c r="J6" t="s">
        <v>20</v>
      </c>
      <c r="K6" t="s">
        <v>16</v>
      </c>
    </row>
    <row r="7" spans="1:11" x14ac:dyDescent="0.3">
      <c r="A7" t="s">
        <v>28</v>
      </c>
      <c r="B7" s="1">
        <v>46115</v>
      </c>
      <c r="C7" s="1">
        <v>46119</v>
      </c>
      <c r="D7" t="s">
        <v>29</v>
      </c>
      <c r="E7" t="s">
        <v>30</v>
      </c>
      <c r="F7" t="s">
        <v>14</v>
      </c>
      <c r="G7">
        <v>220</v>
      </c>
      <c r="H7">
        <v>98.5</v>
      </c>
      <c r="I7" s="9">
        <v>21670</v>
      </c>
      <c r="J7" t="s">
        <v>31</v>
      </c>
      <c r="K7" t="s">
        <v>16</v>
      </c>
    </row>
    <row r="8" spans="1:11" x14ac:dyDescent="0.3">
      <c r="A8" t="s">
        <v>32</v>
      </c>
      <c r="B8" s="1">
        <v>46115</v>
      </c>
      <c r="C8" s="1">
        <v>46119</v>
      </c>
      <c r="D8" t="s">
        <v>12</v>
      </c>
      <c r="E8" t="s">
        <v>33</v>
      </c>
      <c r="F8" t="s">
        <v>19</v>
      </c>
      <c r="G8">
        <v>60</v>
      </c>
      <c r="H8">
        <v>185</v>
      </c>
      <c r="I8" s="9">
        <v>11100</v>
      </c>
      <c r="J8" t="s">
        <v>15</v>
      </c>
      <c r="K8" t="s">
        <v>16</v>
      </c>
    </row>
    <row r="9" spans="1:11" x14ac:dyDescent="0.3">
      <c r="A9" t="s">
        <v>34</v>
      </c>
      <c r="B9" s="1">
        <v>46118</v>
      </c>
      <c r="C9" s="1">
        <v>46120</v>
      </c>
      <c r="D9" t="s">
        <v>35</v>
      </c>
      <c r="E9" t="s">
        <v>36</v>
      </c>
      <c r="F9" t="s">
        <v>14</v>
      </c>
      <c r="G9">
        <v>10</v>
      </c>
      <c r="H9">
        <v>5250</v>
      </c>
      <c r="I9" s="9">
        <v>52500</v>
      </c>
      <c r="J9" t="s">
        <v>20</v>
      </c>
      <c r="K9" t="s">
        <v>37</v>
      </c>
    </row>
    <row r="10" spans="1:11" x14ac:dyDescent="0.3">
      <c r="A10" t="s">
        <v>38</v>
      </c>
      <c r="B10" s="1">
        <v>46118</v>
      </c>
      <c r="C10" s="1">
        <v>46120</v>
      </c>
      <c r="D10" t="s">
        <v>12</v>
      </c>
      <c r="E10" t="s">
        <v>39</v>
      </c>
      <c r="F10" t="s">
        <v>14</v>
      </c>
      <c r="G10">
        <v>40</v>
      </c>
      <c r="H10">
        <v>880</v>
      </c>
      <c r="I10" s="9">
        <v>35200</v>
      </c>
      <c r="J10" t="s">
        <v>23</v>
      </c>
      <c r="K10" t="s">
        <v>16</v>
      </c>
    </row>
    <row r="11" spans="1:11" x14ac:dyDescent="0.3">
      <c r="A11" t="s">
        <v>40</v>
      </c>
      <c r="B11" s="1">
        <v>46119</v>
      </c>
      <c r="C11" s="1">
        <v>46121</v>
      </c>
      <c r="D11" t="s">
        <v>25</v>
      </c>
      <c r="E11" t="s">
        <v>41</v>
      </c>
      <c r="F11" t="s">
        <v>19</v>
      </c>
      <c r="G11">
        <v>90</v>
      </c>
      <c r="H11">
        <v>442</v>
      </c>
      <c r="I11" s="9">
        <v>39780</v>
      </c>
      <c r="J11" t="s">
        <v>27</v>
      </c>
      <c r="K11" t="s">
        <v>16</v>
      </c>
    </row>
    <row r="12" spans="1:11" x14ac:dyDescent="0.3">
      <c r="A12" t="s">
        <v>42</v>
      </c>
      <c r="B12" s="1">
        <v>46119</v>
      </c>
      <c r="C12" s="1">
        <v>46121</v>
      </c>
      <c r="D12" t="s">
        <v>29</v>
      </c>
      <c r="E12" t="s">
        <v>43</v>
      </c>
      <c r="F12" t="s">
        <v>14</v>
      </c>
      <c r="G12">
        <v>150</v>
      </c>
      <c r="H12">
        <v>101.2</v>
      </c>
      <c r="I12" s="9">
        <v>15180</v>
      </c>
      <c r="J12" t="s">
        <v>31</v>
      </c>
      <c r="K12" t="s">
        <v>16</v>
      </c>
    </row>
    <row r="13" spans="1:11" x14ac:dyDescent="0.3">
      <c r="A13" t="s">
        <v>44</v>
      </c>
      <c r="B13" s="1">
        <v>46120</v>
      </c>
      <c r="C13" s="1">
        <v>46122</v>
      </c>
      <c r="D13" t="s">
        <v>12</v>
      </c>
      <c r="E13" t="s">
        <v>45</v>
      </c>
      <c r="F13" t="s">
        <v>14</v>
      </c>
      <c r="G13">
        <v>55</v>
      </c>
      <c r="H13">
        <v>485</v>
      </c>
      <c r="I13" s="9">
        <v>26675</v>
      </c>
      <c r="J13" t="s">
        <v>15</v>
      </c>
      <c r="K13" t="s">
        <v>16</v>
      </c>
    </row>
    <row r="14" spans="1:11" x14ac:dyDescent="0.3">
      <c r="A14" t="s">
        <v>46</v>
      </c>
      <c r="B14" s="1">
        <v>46120</v>
      </c>
      <c r="C14" s="1">
        <v>46122</v>
      </c>
      <c r="D14" t="s">
        <v>12</v>
      </c>
      <c r="E14" t="s">
        <v>47</v>
      </c>
      <c r="F14" t="s">
        <v>19</v>
      </c>
      <c r="G14">
        <v>30</v>
      </c>
      <c r="H14">
        <v>610</v>
      </c>
      <c r="I14" s="9">
        <v>18300</v>
      </c>
      <c r="J14" t="s">
        <v>20</v>
      </c>
      <c r="K14" t="s">
        <v>16</v>
      </c>
    </row>
    <row r="15" spans="1:11" x14ac:dyDescent="0.3">
      <c r="A15" t="s">
        <v>48</v>
      </c>
      <c r="B15" s="1">
        <v>46121</v>
      </c>
      <c r="C15" s="1">
        <v>46125</v>
      </c>
      <c r="D15" t="s">
        <v>25</v>
      </c>
      <c r="E15" t="s">
        <v>49</v>
      </c>
      <c r="F15" t="s">
        <v>14</v>
      </c>
      <c r="G15">
        <v>100</v>
      </c>
      <c r="H15">
        <v>205</v>
      </c>
      <c r="I15" s="9">
        <v>20500</v>
      </c>
      <c r="J15" t="s">
        <v>23</v>
      </c>
      <c r="K15" t="s">
        <v>16</v>
      </c>
    </row>
    <row r="16" spans="1:11" x14ac:dyDescent="0.3">
      <c r="A16" t="s">
        <v>52</v>
      </c>
      <c r="B16" s="1">
        <v>46122</v>
      </c>
      <c r="C16" s="1">
        <v>46126</v>
      </c>
      <c r="D16" t="s">
        <v>35</v>
      </c>
      <c r="E16" t="s">
        <v>53</v>
      </c>
      <c r="F16" t="s">
        <v>19</v>
      </c>
      <c r="G16">
        <v>15</v>
      </c>
      <c r="H16">
        <v>82</v>
      </c>
      <c r="I16" s="9">
        <v>1230</v>
      </c>
      <c r="J16" t="s">
        <v>31</v>
      </c>
      <c r="K16" t="s">
        <v>54</v>
      </c>
    </row>
    <row r="17" spans="1:11" x14ac:dyDescent="0.3">
      <c r="A17" t="s">
        <v>55</v>
      </c>
      <c r="B17" s="1">
        <v>46122</v>
      </c>
      <c r="C17" s="1">
        <v>46126</v>
      </c>
      <c r="D17" t="s">
        <v>12</v>
      </c>
      <c r="E17" t="s">
        <v>56</v>
      </c>
      <c r="F17" t="s">
        <v>14</v>
      </c>
      <c r="G17">
        <v>80</v>
      </c>
      <c r="H17">
        <v>198</v>
      </c>
      <c r="I17" s="9">
        <v>15840</v>
      </c>
      <c r="J17" t="s">
        <v>15</v>
      </c>
      <c r="K17" t="s">
        <v>16</v>
      </c>
    </row>
    <row r="18" spans="1:11" x14ac:dyDescent="0.3">
      <c r="A18" t="s">
        <v>57</v>
      </c>
      <c r="B18" s="1">
        <v>46125</v>
      </c>
      <c r="C18" s="1">
        <v>46127</v>
      </c>
      <c r="D18" t="s">
        <v>12</v>
      </c>
      <c r="E18" t="s">
        <v>58</v>
      </c>
      <c r="F18" t="s">
        <v>19</v>
      </c>
      <c r="G18">
        <v>200</v>
      </c>
      <c r="H18">
        <v>38</v>
      </c>
      <c r="I18" s="9">
        <v>7600</v>
      </c>
      <c r="J18" t="s">
        <v>20</v>
      </c>
      <c r="K18" t="s">
        <v>16</v>
      </c>
    </row>
    <row r="19" spans="1:11" x14ac:dyDescent="0.3">
      <c r="A19" t="s">
        <v>59</v>
      </c>
      <c r="B19" s="1">
        <v>46125</v>
      </c>
      <c r="C19" s="1">
        <v>46128</v>
      </c>
      <c r="D19" t="s">
        <v>25</v>
      </c>
      <c r="E19" t="s">
        <v>60</v>
      </c>
      <c r="F19" t="s">
        <v>14</v>
      </c>
      <c r="G19">
        <v>70</v>
      </c>
      <c r="H19">
        <v>255</v>
      </c>
      <c r="I19" s="9">
        <v>17850</v>
      </c>
      <c r="J19" t="s">
        <v>23</v>
      </c>
      <c r="K19" t="s">
        <v>37</v>
      </c>
    </row>
    <row r="20" spans="1:11" x14ac:dyDescent="0.3">
      <c r="A20" t="s">
        <v>61</v>
      </c>
      <c r="B20" s="1">
        <v>46126</v>
      </c>
      <c r="C20" s="1">
        <v>46128</v>
      </c>
      <c r="D20" t="s">
        <v>29</v>
      </c>
      <c r="E20" t="s">
        <v>62</v>
      </c>
      <c r="F20" t="s">
        <v>14</v>
      </c>
      <c r="G20">
        <v>300</v>
      </c>
      <c r="H20">
        <v>99.1</v>
      </c>
      <c r="I20" s="9">
        <v>29730</v>
      </c>
      <c r="J20" t="s">
        <v>27</v>
      </c>
      <c r="K20" t="s">
        <v>16</v>
      </c>
    </row>
    <row r="21" spans="1:11" x14ac:dyDescent="0.3">
      <c r="A21" t="s">
        <v>63</v>
      </c>
      <c r="B21" s="1">
        <v>46126</v>
      </c>
      <c r="C21" s="1">
        <v>46128</v>
      </c>
      <c r="D21" t="s">
        <v>12</v>
      </c>
      <c r="E21" t="s">
        <v>64</v>
      </c>
      <c r="F21" t="s">
        <v>14</v>
      </c>
      <c r="G21">
        <v>45</v>
      </c>
      <c r="H21">
        <v>160</v>
      </c>
      <c r="I21" s="9">
        <v>7200</v>
      </c>
      <c r="J21" t="s">
        <v>31</v>
      </c>
      <c r="K21" t="s">
        <v>16</v>
      </c>
    </row>
    <row r="22" spans="1:11" x14ac:dyDescent="0.3">
      <c r="A22" t="s">
        <v>65</v>
      </c>
      <c r="B22" s="1">
        <v>46127</v>
      </c>
      <c r="C22" s="1">
        <v>46129</v>
      </c>
      <c r="D22" t="s">
        <v>35</v>
      </c>
      <c r="E22" t="s">
        <v>66</v>
      </c>
      <c r="F22" t="s">
        <v>19</v>
      </c>
      <c r="G22">
        <v>8</v>
      </c>
      <c r="H22">
        <v>18200</v>
      </c>
      <c r="I22" s="9">
        <v>145600</v>
      </c>
      <c r="J22" t="s">
        <v>15</v>
      </c>
      <c r="K22" t="s">
        <v>16</v>
      </c>
    </row>
    <row r="23" spans="1:11" x14ac:dyDescent="0.3">
      <c r="A23" t="s">
        <v>67</v>
      </c>
      <c r="B23" s="1">
        <v>46127</v>
      </c>
      <c r="C23" s="1">
        <v>46129</v>
      </c>
      <c r="D23" t="s">
        <v>12</v>
      </c>
      <c r="E23" t="s">
        <v>68</v>
      </c>
      <c r="F23" t="s">
        <v>14</v>
      </c>
      <c r="G23">
        <v>65</v>
      </c>
      <c r="H23">
        <v>275</v>
      </c>
      <c r="I23" s="9">
        <v>17875</v>
      </c>
      <c r="J23" t="s">
        <v>23</v>
      </c>
      <c r="K23" t="s">
        <v>16</v>
      </c>
    </row>
    <row r="24" spans="1:11" x14ac:dyDescent="0.3">
      <c r="A24" t="s">
        <v>69</v>
      </c>
      <c r="B24" s="1">
        <v>46128</v>
      </c>
      <c r="C24" s="1">
        <v>46132</v>
      </c>
      <c r="D24" t="s">
        <v>25</v>
      </c>
      <c r="E24" t="s">
        <v>70</v>
      </c>
      <c r="F24" t="s">
        <v>14</v>
      </c>
      <c r="G24">
        <v>110</v>
      </c>
      <c r="H24">
        <v>78</v>
      </c>
      <c r="I24" s="9">
        <v>8580</v>
      </c>
      <c r="J24" t="s">
        <v>23</v>
      </c>
      <c r="K24" t="s">
        <v>16</v>
      </c>
    </row>
    <row r="25" spans="1:11" x14ac:dyDescent="0.3">
      <c r="A25" t="s">
        <v>71</v>
      </c>
      <c r="B25" s="1">
        <v>46128</v>
      </c>
      <c r="C25" s="1">
        <v>46132</v>
      </c>
      <c r="D25" t="s">
        <v>29</v>
      </c>
      <c r="E25" t="s">
        <v>72</v>
      </c>
      <c r="F25" t="s">
        <v>19</v>
      </c>
      <c r="G25">
        <v>180</v>
      </c>
      <c r="H25">
        <v>102.4</v>
      </c>
      <c r="I25" s="9">
        <v>18432</v>
      </c>
      <c r="J25" t="s">
        <v>27</v>
      </c>
      <c r="K25" t="s">
        <v>16</v>
      </c>
    </row>
    <row r="26" spans="1:11" x14ac:dyDescent="0.3">
      <c r="A26" t="s">
        <v>73</v>
      </c>
      <c r="B26" s="1">
        <v>46129</v>
      </c>
      <c r="C26" s="1">
        <v>46133</v>
      </c>
      <c r="D26" t="s">
        <v>12</v>
      </c>
      <c r="E26" t="s">
        <v>74</v>
      </c>
      <c r="F26" t="s">
        <v>14</v>
      </c>
      <c r="G26">
        <v>35</v>
      </c>
      <c r="H26">
        <v>285</v>
      </c>
      <c r="I26" s="9">
        <v>9975</v>
      </c>
      <c r="J26" t="s">
        <v>31</v>
      </c>
      <c r="K26" t="s">
        <v>16</v>
      </c>
    </row>
    <row r="27" spans="1:11" x14ac:dyDescent="0.3">
      <c r="A27" t="s">
        <v>75</v>
      </c>
      <c r="B27" s="1">
        <v>46129</v>
      </c>
      <c r="C27" s="1">
        <v>46133</v>
      </c>
      <c r="D27" t="s">
        <v>12</v>
      </c>
      <c r="E27" t="s">
        <v>76</v>
      </c>
      <c r="F27" t="s">
        <v>19</v>
      </c>
      <c r="G27">
        <v>25</v>
      </c>
      <c r="H27">
        <v>470</v>
      </c>
      <c r="I27" s="9">
        <v>11750</v>
      </c>
      <c r="J27" t="s">
        <v>15</v>
      </c>
      <c r="K27" t="s">
        <v>16</v>
      </c>
    </row>
    <row r="28" spans="1:11" x14ac:dyDescent="0.3">
      <c r="A28" t="s">
        <v>77</v>
      </c>
      <c r="B28" s="1">
        <v>46132</v>
      </c>
      <c r="C28" s="1">
        <v>46134</v>
      </c>
      <c r="D28" t="s">
        <v>35</v>
      </c>
      <c r="E28" t="s">
        <v>78</v>
      </c>
      <c r="F28" t="s">
        <v>14</v>
      </c>
      <c r="G28">
        <v>12</v>
      </c>
      <c r="H28">
        <v>2360</v>
      </c>
      <c r="I28" s="9">
        <v>28320</v>
      </c>
      <c r="J28" t="s">
        <v>20</v>
      </c>
      <c r="K28" t="s">
        <v>54</v>
      </c>
    </row>
    <row r="29" spans="1:11" x14ac:dyDescent="0.3">
      <c r="A29" t="s">
        <v>79</v>
      </c>
      <c r="B29" s="1">
        <v>46132</v>
      </c>
      <c r="C29" s="1">
        <v>46134</v>
      </c>
      <c r="D29" t="s">
        <v>25</v>
      </c>
      <c r="E29" t="s">
        <v>80</v>
      </c>
      <c r="F29" t="s">
        <v>14</v>
      </c>
      <c r="G29">
        <v>95</v>
      </c>
      <c r="H29">
        <v>48</v>
      </c>
      <c r="I29" s="9">
        <v>4560</v>
      </c>
      <c r="J29" t="s">
        <v>23</v>
      </c>
      <c r="K29" t="s">
        <v>16</v>
      </c>
    </row>
    <row r="30" spans="1:11" x14ac:dyDescent="0.3">
      <c r="A30" t="s">
        <v>81</v>
      </c>
      <c r="B30" s="1">
        <v>46133</v>
      </c>
      <c r="C30" s="1">
        <v>46135</v>
      </c>
      <c r="D30" t="s">
        <v>29</v>
      </c>
      <c r="E30" t="s">
        <v>82</v>
      </c>
      <c r="F30" t="s">
        <v>19</v>
      </c>
      <c r="G30">
        <v>130</v>
      </c>
      <c r="H30">
        <v>76</v>
      </c>
      <c r="I30" s="9">
        <v>9880</v>
      </c>
      <c r="J30" t="s">
        <v>27</v>
      </c>
      <c r="K30" t="s">
        <v>16</v>
      </c>
    </row>
    <row r="31" spans="1:11" x14ac:dyDescent="0.3">
      <c r="A31" t="s">
        <v>83</v>
      </c>
      <c r="B31" s="1">
        <v>46133</v>
      </c>
      <c r="C31" s="1">
        <v>46135</v>
      </c>
      <c r="D31" t="s">
        <v>12</v>
      </c>
      <c r="E31" t="s">
        <v>84</v>
      </c>
      <c r="F31" t="s">
        <v>14</v>
      </c>
      <c r="G31">
        <v>28</v>
      </c>
      <c r="H31">
        <v>525</v>
      </c>
      <c r="I31" s="9">
        <v>14700</v>
      </c>
      <c r="J31" t="s">
        <v>31</v>
      </c>
      <c r="K31" t="s">
        <v>16</v>
      </c>
    </row>
    <row r="32" spans="1:11" x14ac:dyDescent="0.3">
      <c r="A32" t="s">
        <v>85</v>
      </c>
      <c r="B32" s="1">
        <v>46134</v>
      </c>
      <c r="C32" s="1">
        <v>46136</v>
      </c>
      <c r="D32" t="s">
        <v>12</v>
      </c>
      <c r="E32" t="s">
        <v>86</v>
      </c>
      <c r="F32" t="s">
        <v>14</v>
      </c>
      <c r="G32">
        <v>100</v>
      </c>
      <c r="H32">
        <v>68</v>
      </c>
      <c r="I32" s="9">
        <v>6800</v>
      </c>
      <c r="J32" t="s">
        <v>27</v>
      </c>
      <c r="K32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D5C1-35B4-4F84-AD20-E15A913AC186}">
  <dimension ref="A1:I32"/>
  <sheetViews>
    <sheetView zoomScale="85" zoomScaleNormal="85" workbookViewId="0">
      <pane ySplit="1" topLeftCell="A2" activePane="bottomLeft" state="frozen"/>
      <selection pane="bottomLeft" activeCell="K5" sqref="K5"/>
    </sheetView>
  </sheetViews>
  <sheetFormatPr defaultRowHeight="14.4" x14ac:dyDescent="0.3"/>
  <cols>
    <col min="1" max="1" width="9.88671875" customWidth="1"/>
    <col min="2" max="2" width="13.109375" customWidth="1"/>
    <col min="3" max="3" width="13.88671875" customWidth="1"/>
    <col min="4" max="4" width="14.88671875" customWidth="1"/>
    <col min="5" max="5" width="16" customWidth="1"/>
    <col min="6" max="6" width="13.5546875" customWidth="1"/>
    <col min="7" max="7" width="12.88671875" customWidth="1"/>
    <col min="8" max="8" width="15.88671875" customWidth="1"/>
    <col min="9" max="9" width="15.33203125" customWidth="1"/>
  </cols>
  <sheetData>
    <row r="1" spans="1:9" ht="15" thickBot="1" x14ac:dyDescent="0.35">
      <c r="A1" s="6" t="s">
        <v>0</v>
      </c>
      <c r="B1" s="5" t="s">
        <v>87</v>
      </c>
      <c r="C1" s="5" t="s">
        <v>88</v>
      </c>
      <c r="D1" s="4" t="s">
        <v>89</v>
      </c>
      <c r="E1" s="5" t="s">
        <v>90</v>
      </c>
      <c r="F1" s="5" t="s">
        <v>91</v>
      </c>
      <c r="G1" s="4" t="s">
        <v>92</v>
      </c>
      <c r="H1" s="4" t="s">
        <v>93</v>
      </c>
      <c r="I1" s="4" t="s">
        <v>94</v>
      </c>
    </row>
    <row r="2" spans="1:9" x14ac:dyDescent="0.3">
      <c r="A2" s="2" t="s">
        <v>11</v>
      </c>
      <c r="B2">
        <f>VLOOKUP(A2,Table2[#All],7,FALSE)</f>
        <v>100</v>
      </c>
      <c r="C2">
        <f>IFERROR(VLOOKUP(A2,Table3[#All],7,FALSE),"Missing")</f>
        <v>100</v>
      </c>
      <c r="D2" t="str">
        <f>IF(Table4[[#This Row],[Broker Qty]]="Missing","Missing",IF(Table4[[#This Row],[Internal Qty]]=Table4[[#This Row],[Broker Qty]],"Match","Break"))</f>
        <v>Match</v>
      </c>
      <c r="E2">
        <f>VLOOKUP(A2,Table2[#All],8,FALSE)</f>
        <v>190</v>
      </c>
      <c r="F2">
        <f>IFERROR(VLOOKUP(Table4[[#This Row],[Trade ID]],Table3[#All],8,FALSE),"Missing")</f>
        <v>190</v>
      </c>
      <c r="G2" t="str">
        <f>IF(Table4[[#This Row],[Internal Price]]=Table4[[#This Row],[Broker Price]],"Match","Break")</f>
        <v>Match</v>
      </c>
      <c r="H2" t="str">
        <f>IFERROR(VLOOKUP(Table4[[#This Row],[Trade ID]],Table3[#All],11,FALSE),"Missing")</f>
        <v>Settled</v>
      </c>
      <c r="I2" t="str">
        <f>IF(Table4[[#This Row],[Broker Qty]]="Missing","Missing Trade",IF(Table4[[#This Row],[Qty Match]]="Break","Quantity Break",IF(Table4[[#This Row],[Price Match]]="Break","Price Break","No Break")))</f>
        <v>No Break</v>
      </c>
    </row>
    <row r="3" spans="1:9" x14ac:dyDescent="0.3">
      <c r="A3" s="3" t="s">
        <v>17</v>
      </c>
      <c r="B3">
        <f>VLOOKUP(A3,Table2[#All],7,FALSE)</f>
        <v>75</v>
      </c>
      <c r="C3">
        <f>IFERROR(VLOOKUP(A3,Table3[#All],7,FALSE),"Missing")</f>
        <v>75</v>
      </c>
      <c r="D3" t="str">
        <f>IF(Table4[[#This Row],[Broker Qty]]="Missing","Missing",IF(Table4[[#This Row],[Internal Qty]]=Table4[[#This Row],[Broker Qty]],"Match","Break"))</f>
        <v>Match</v>
      </c>
      <c r="E3">
        <f>VLOOKUP(A3,Table2[#All],8,FALSE)</f>
        <v>410</v>
      </c>
      <c r="F3">
        <f>IFERROR(VLOOKUP(Table4[[#This Row],[Trade ID]],Table3[#All],8,FALSE),"Missing")</f>
        <v>410</v>
      </c>
      <c r="G3" t="str">
        <f>IF(Table4[[#This Row],[Internal Price]]=Table4[[#This Row],[Broker Price]],"Match","Break")</f>
        <v>Match</v>
      </c>
      <c r="H3" t="str">
        <f>IFERROR(VLOOKUP(Table4[[#This Row],[Trade ID]],Table3[#All],11,FALSE),"Missing")</f>
        <v>Settled</v>
      </c>
      <c r="I3" t="str">
        <f>IF(Table4[[#This Row],[Broker Qty]]="Missing","Missing Trade",IF(Table4[[#This Row],[Qty Match]]="Break","Quantity Break",IF(Table4[[#This Row],[Price Match]]="Break","Price Break","No Break")))</f>
        <v>No Break</v>
      </c>
    </row>
    <row r="4" spans="1:9" x14ac:dyDescent="0.3">
      <c r="A4" s="2" t="s">
        <v>21</v>
      </c>
      <c r="B4">
        <f>VLOOKUP(A4,Table2[#All],7,FALSE)</f>
        <v>50</v>
      </c>
      <c r="C4">
        <f>IFERROR(VLOOKUP(A4,Table3[#All],7,FALSE),"Missing")</f>
        <v>50</v>
      </c>
      <c r="D4" t="str">
        <f>IF(Table4[[#This Row],[Broker Qty]]="Missing","Missing",IF(Table4[[#This Row],[Internal Qty]]=Table4[[#This Row],[Broker Qty]],"Match","Break"))</f>
        <v>Match</v>
      </c>
      <c r="E4">
        <f>VLOOKUP(A4,Table2[#All],8,FALSE)</f>
        <v>175</v>
      </c>
      <c r="F4">
        <f>IFERROR(VLOOKUP(Table4[[#This Row],[Trade ID]],Table3[#All],8,FALSE),"Missing")</f>
        <v>175</v>
      </c>
      <c r="G4" t="str">
        <f>IF(Table4[[#This Row],[Internal Price]]=Table4[[#This Row],[Broker Price]],"Match","Break")</f>
        <v>Match</v>
      </c>
      <c r="H4" t="str">
        <f>IFERROR(VLOOKUP(Table4[[#This Row],[Trade ID]],Table3[#All],11,FALSE),"Missing")</f>
        <v>Settled</v>
      </c>
      <c r="I4" t="str">
        <f>IF(Table4[[#This Row],[Broker Qty]]="Missing","Missing Trade",IF(Table4[[#This Row],[Qty Match]]="Break","Quantity Break",IF(Table4[[#This Row],[Price Match]]="Break","Price Break","No Break")))</f>
        <v>No Break</v>
      </c>
    </row>
    <row r="5" spans="1:9" x14ac:dyDescent="0.3">
      <c r="A5" s="3" t="s">
        <v>24</v>
      </c>
      <c r="B5">
        <f>VLOOKUP(A5,Table2[#All],7,FALSE)</f>
        <v>120</v>
      </c>
      <c r="C5">
        <f>IFERROR(VLOOKUP(A5,Table3[#All],7,FALSE),"Missing")</f>
        <v>120</v>
      </c>
      <c r="D5" t="str">
        <f>IF(Table4[[#This Row],[Broker Qty]]="Missing","Missing",IF(Table4[[#This Row],[Internal Qty]]=Table4[[#This Row],[Broker Qty]],"Match","Break"))</f>
        <v>Match</v>
      </c>
      <c r="E5">
        <f>VLOOKUP(A5,Table2[#All],8,FALSE)</f>
        <v>515</v>
      </c>
      <c r="F5">
        <f>IFERROR(VLOOKUP(Table4[[#This Row],[Trade ID]],Table3[#All],8,FALSE),"Missing")</f>
        <v>515</v>
      </c>
      <c r="G5" t="str">
        <f>IF(Table4[[#This Row],[Internal Price]]=Table4[[#This Row],[Broker Price]],"Match","Break")</f>
        <v>Match</v>
      </c>
      <c r="H5" t="str">
        <f>IFERROR(VLOOKUP(Table4[[#This Row],[Trade ID]],Table3[#All],11,FALSE),"Missing")</f>
        <v>Settled</v>
      </c>
      <c r="I5" t="str">
        <f>IF(Table4[[#This Row],[Broker Qty]]="Missing","Missing Trade",IF(Table4[[#This Row],[Qty Match]]="Break","Quantity Break",IF(Table4[[#This Row],[Price Match]]="Break","Price Break","No Break")))</f>
        <v>No Break</v>
      </c>
    </row>
    <row r="6" spans="1:9" x14ac:dyDescent="0.3">
      <c r="A6" s="3" t="s">
        <v>97</v>
      </c>
      <c r="B6">
        <f>VLOOKUP(A6,Table2[#All],7,FALSE)</f>
        <v>1000</v>
      </c>
      <c r="C6">
        <f>IFERROR(VLOOKUP(A6,Table3[#All],7,FALSE),"Missing")</f>
        <v>10000</v>
      </c>
      <c r="D6" t="str">
        <f>IF(Table4[[#This Row],[Broker Qty]]="Missing","Missing",IF(Table4[[#This Row],[Internal Qty]]=Table4[[#This Row],[Broker Qty]],"Match","Break"))</f>
        <v>Break</v>
      </c>
      <c r="E6">
        <f>VLOOKUP(A6,Table2[#All],8,FALSE)</f>
        <v>42.5</v>
      </c>
      <c r="F6">
        <f>IFERROR(VLOOKUP(Table4[[#This Row],[Trade ID]],Table3[#All],8,FALSE),"Missing")</f>
        <v>42.5</v>
      </c>
      <c r="G6" t="str">
        <f>IF(Table4[[#This Row],[Internal Price]]=Table4[[#This Row],[Broker Price]],"Match","Break")</f>
        <v>Match</v>
      </c>
      <c r="H6" t="str">
        <f>IFERROR(VLOOKUP(Table4[[#This Row],[Trade ID]],Table3[#All],11,FALSE),"Missing")</f>
        <v>Settled</v>
      </c>
      <c r="I6" t="str">
        <f>IF(Table4[[#This Row],[Broker Qty]]="Missing","Missing Trade",IF(Table4[[#This Row],[Qty Match]]="Break","Quantity Break",IF(Table4[[#This Row],[Price Match]]="Break","Price Break","No Break")))</f>
        <v>Quantity Break</v>
      </c>
    </row>
    <row r="7" spans="1:9" x14ac:dyDescent="0.3">
      <c r="A7" s="2" t="s">
        <v>28</v>
      </c>
      <c r="B7">
        <f>VLOOKUP(A7,Table2[#All],7,FALSE)</f>
        <v>200</v>
      </c>
      <c r="C7">
        <f>IFERROR(VLOOKUP(A7,Table3[#All],7,FALSE),"Missing")</f>
        <v>220</v>
      </c>
      <c r="D7" t="str">
        <f>IF(Table4[[#This Row],[Broker Qty]]="Missing","Missing",IF(Table4[[#This Row],[Internal Qty]]=Table4[[#This Row],[Broker Qty]],"Match","Break"))</f>
        <v>Break</v>
      </c>
      <c r="E7">
        <f>VLOOKUP(A7,Table2[#All],8,FALSE)</f>
        <v>98.5</v>
      </c>
      <c r="F7">
        <f>IFERROR(VLOOKUP(Table4[[#This Row],[Trade ID]],Table3[#All],8,FALSE),"Missing")</f>
        <v>98.5</v>
      </c>
      <c r="G7" t="str">
        <f>IF(Table4[[#This Row],[Internal Price]]=Table4[[#This Row],[Broker Price]],"Match","Break")</f>
        <v>Match</v>
      </c>
      <c r="H7" t="str">
        <f>IFERROR(VLOOKUP(Table4[[#This Row],[Trade ID]],Table3[#All],11,FALSE),"Missing")</f>
        <v>Settled</v>
      </c>
      <c r="I7" t="str">
        <f>IF(Table4[[#This Row],[Broker Qty]]="Missing","Missing Trade",IF(Table4[[#This Row],[Qty Match]]="Break","Quantity Break",IF(Table4[[#This Row],[Price Match]]="Break","Price Break","No Break")))</f>
        <v>Quantity Break</v>
      </c>
    </row>
    <row r="8" spans="1:9" x14ac:dyDescent="0.3">
      <c r="A8" s="3" t="s">
        <v>32</v>
      </c>
      <c r="B8">
        <f>VLOOKUP(A8,Table2[#All],7,FALSE)</f>
        <v>60</v>
      </c>
      <c r="C8">
        <f>IFERROR(VLOOKUP(A8,Table3[#All],7,FALSE),"Missing")</f>
        <v>60</v>
      </c>
      <c r="D8" t="str">
        <f>IF(Table4[[#This Row],[Broker Qty]]="Missing","Missing",IF(Table4[[#This Row],[Internal Qty]]=Table4[[#This Row],[Broker Qty]],"Match","Break"))</f>
        <v>Match</v>
      </c>
      <c r="E8">
        <f>VLOOKUP(A8,Table2[#All],8,FALSE)</f>
        <v>185</v>
      </c>
      <c r="F8">
        <f>IFERROR(VLOOKUP(Table4[[#This Row],[Trade ID]],Table3[#All],8,FALSE),"Missing")</f>
        <v>185</v>
      </c>
      <c r="G8" t="str">
        <f>IF(Table4[[#This Row],[Internal Price]]=Table4[[#This Row],[Broker Price]],"Match","Break")</f>
        <v>Match</v>
      </c>
      <c r="H8" t="str">
        <f>IFERROR(VLOOKUP(Table4[[#This Row],[Trade ID]],Table3[#All],11,FALSE),"Missing")</f>
        <v>Settled</v>
      </c>
      <c r="I8" t="str">
        <f>IF(Table4[[#This Row],[Broker Qty]]="Missing","Missing Trade",IF(Table4[[#This Row],[Qty Match]]="Break","Quantity Break",IF(Table4[[#This Row],[Price Match]]="Break","Price Break","No Break")))</f>
        <v>No Break</v>
      </c>
    </row>
    <row r="9" spans="1:9" x14ac:dyDescent="0.3">
      <c r="A9" s="2" t="s">
        <v>34</v>
      </c>
      <c r="B9">
        <f>VLOOKUP(A9,Table2[#All],7,FALSE)</f>
        <v>10</v>
      </c>
      <c r="C9">
        <f>IFERROR(VLOOKUP(A9,Table3[#All],7,FALSE),"Missing")</f>
        <v>10</v>
      </c>
      <c r="D9" t="str">
        <f>IF(Table4[[#This Row],[Broker Qty]]="Missing","Missing",IF(Table4[[#This Row],[Internal Qty]]=Table4[[#This Row],[Broker Qty]],"Match","Break"))</f>
        <v>Match</v>
      </c>
      <c r="E9">
        <f>VLOOKUP(A9,Table2[#All],8,FALSE)</f>
        <v>5250</v>
      </c>
      <c r="F9">
        <f>IFERROR(VLOOKUP(Table4[[#This Row],[Trade ID]],Table3[#All],8,FALSE),"Missing")</f>
        <v>5250</v>
      </c>
      <c r="G9" t="str">
        <f>IF(Table4[[#This Row],[Internal Price]]=Table4[[#This Row],[Broker Price]],"Match","Break")</f>
        <v>Match</v>
      </c>
      <c r="H9" t="str">
        <f>IFERROR(VLOOKUP(Table4[[#This Row],[Trade ID]],Table3[#All],11,FALSE),"Missing")</f>
        <v>Pending</v>
      </c>
      <c r="I9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0" spans="1:9" x14ac:dyDescent="0.3">
      <c r="A10" s="3" t="s">
        <v>38</v>
      </c>
      <c r="B10">
        <f>VLOOKUP(A10,Table2[#All],7,FALSE)</f>
        <v>40</v>
      </c>
      <c r="C10">
        <f>IFERROR(VLOOKUP(A10,Table3[#All],7,FALSE),"Missing")</f>
        <v>40</v>
      </c>
      <c r="D10" t="str">
        <f>IF(Table4[[#This Row],[Broker Qty]]="Missing","Missing",IF(Table4[[#This Row],[Internal Qty]]=Table4[[#This Row],[Broker Qty]],"Match","Break"))</f>
        <v>Match</v>
      </c>
      <c r="E10">
        <f>VLOOKUP(A10,Table2[#All],8,FALSE)</f>
        <v>880</v>
      </c>
      <c r="F10">
        <f>IFERROR(VLOOKUP(Table4[[#This Row],[Trade ID]],Table3[#All],8,FALSE),"Missing")</f>
        <v>880</v>
      </c>
      <c r="G10" t="str">
        <f>IF(Table4[[#This Row],[Internal Price]]=Table4[[#This Row],[Broker Price]],"Match","Break")</f>
        <v>Match</v>
      </c>
      <c r="H10" t="str">
        <f>IFERROR(VLOOKUP(Table4[[#This Row],[Trade ID]],Table3[#All],11,FALSE),"Missing")</f>
        <v>Settled</v>
      </c>
      <c r="I10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1" spans="1:9" x14ac:dyDescent="0.3">
      <c r="A11" s="2" t="s">
        <v>40</v>
      </c>
      <c r="B11">
        <f>VLOOKUP(A11,Table2[#All],7,FALSE)</f>
        <v>90</v>
      </c>
      <c r="C11">
        <f>IFERROR(VLOOKUP(A11,Table3[#All],7,FALSE),"Missing")</f>
        <v>90</v>
      </c>
      <c r="D11" t="str">
        <f>IF(Table4[[#This Row],[Broker Qty]]="Missing","Missing",IF(Table4[[#This Row],[Internal Qty]]=Table4[[#This Row],[Broker Qty]],"Match","Break"))</f>
        <v>Match</v>
      </c>
      <c r="E11">
        <f>VLOOKUP(A11,Table2[#All],8,FALSE)</f>
        <v>440</v>
      </c>
      <c r="F11">
        <f>IFERROR(VLOOKUP(Table4[[#This Row],[Trade ID]],Table3[#All],8,FALSE),"Missing")</f>
        <v>442</v>
      </c>
      <c r="G11" t="str">
        <f>IF(Table4[[#This Row],[Internal Price]]=Table4[[#This Row],[Broker Price]],"Match","Break")</f>
        <v>Break</v>
      </c>
      <c r="H11" t="str">
        <f>IFERROR(VLOOKUP(Table4[[#This Row],[Trade ID]],Table3[#All],11,FALSE),"Missing")</f>
        <v>Settled</v>
      </c>
      <c r="I11" t="str">
        <f>IF(Table4[[#This Row],[Broker Qty]]="Missing","Missing Trade",IF(Table4[[#This Row],[Qty Match]]="Break","Quantity Break",IF(Table4[[#This Row],[Price Match]]="Break","Price Break","No Break")))</f>
        <v>Price Break</v>
      </c>
    </row>
    <row r="12" spans="1:9" x14ac:dyDescent="0.3">
      <c r="A12" s="3" t="s">
        <v>42</v>
      </c>
      <c r="B12">
        <f>VLOOKUP(A12,Table2[#All],7,FALSE)</f>
        <v>150</v>
      </c>
      <c r="C12">
        <f>IFERROR(VLOOKUP(A12,Table3[#All],7,FALSE),"Missing")</f>
        <v>150</v>
      </c>
      <c r="D12" t="str">
        <f>IF(Table4[[#This Row],[Broker Qty]]="Missing","Missing",IF(Table4[[#This Row],[Internal Qty]]=Table4[[#This Row],[Broker Qty]],"Match","Break"))</f>
        <v>Match</v>
      </c>
      <c r="E12">
        <f>VLOOKUP(A12,Table2[#All],8,FALSE)</f>
        <v>101.2</v>
      </c>
      <c r="F12">
        <f>IFERROR(VLOOKUP(Table4[[#This Row],[Trade ID]],Table3[#All],8,FALSE),"Missing")</f>
        <v>101.2</v>
      </c>
      <c r="G12" t="str">
        <f>IF(Table4[[#This Row],[Internal Price]]=Table4[[#This Row],[Broker Price]],"Match","Break")</f>
        <v>Match</v>
      </c>
      <c r="H12" t="str">
        <f>IFERROR(VLOOKUP(Table4[[#This Row],[Trade ID]],Table3[#All],11,FALSE),"Missing")</f>
        <v>Settled</v>
      </c>
      <c r="I12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3" spans="1:9" x14ac:dyDescent="0.3">
      <c r="A13" s="2" t="s">
        <v>44</v>
      </c>
      <c r="B13">
        <f>VLOOKUP(A13,Table2[#All],7,FALSE)</f>
        <v>55</v>
      </c>
      <c r="C13">
        <f>IFERROR(VLOOKUP(A13,Table3[#All],7,FALSE),"Missing")</f>
        <v>55</v>
      </c>
      <c r="D13" t="str">
        <f>IF(Table4[[#This Row],[Broker Qty]]="Missing","Missing",IF(Table4[[#This Row],[Internal Qty]]=Table4[[#This Row],[Broker Qty]],"Match","Break"))</f>
        <v>Match</v>
      </c>
      <c r="E13">
        <f>VLOOKUP(A13,Table2[#All],8,FALSE)</f>
        <v>485</v>
      </c>
      <c r="F13">
        <f>IFERROR(VLOOKUP(Table4[[#This Row],[Trade ID]],Table3[#All],8,FALSE),"Missing")</f>
        <v>485</v>
      </c>
      <c r="G13" t="str">
        <f>IF(Table4[[#This Row],[Internal Price]]=Table4[[#This Row],[Broker Price]],"Match","Break")</f>
        <v>Match</v>
      </c>
      <c r="H13" t="str">
        <f>IFERROR(VLOOKUP(Table4[[#This Row],[Trade ID]],Table3[#All],11,FALSE),"Missing")</f>
        <v>Settled</v>
      </c>
      <c r="I13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4" spans="1:9" x14ac:dyDescent="0.3">
      <c r="A14" s="3" t="s">
        <v>46</v>
      </c>
      <c r="B14">
        <f>VLOOKUP(A14,Table2[#All],7,FALSE)</f>
        <v>30</v>
      </c>
      <c r="C14">
        <f>IFERROR(VLOOKUP(A14,Table3[#All],7,FALSE),"Missing")</f>
        <v>30</v>
      </c>
      <c r="D14" t="str">
        <f>IF(Table4[[#This Row],[Broker Qty]]="Missing","Missing",IF(Table4[[#This Row],[Internal Qty]]=Table4[[#This Row],[Broker Qty]],"Match","Break"))</f>
        <v>Match</v>
      </c>
      <c r="E14">
        <f>VLOOKUP(A14,Table2[#All],8,FALSE)</f>
        <v>610</v>
      </c>
      <c r="F14">
        <f>IFERROR(VLOOKUP(Table4[[#This Row],[Trade ID]],Table3[#All],8,FALSE),"Missing")</f>
        <v>610</v>
      </c>
      <c r="G14" t="str">
        <f>IF(Table4[[#This Row],[Internal Price]]=Table4[[#This Row],[Broker Price]],"Match","Break")</f>
        <v>Match</v>
      </c>
      <c r="H14" t="str">
        <f>IFERROR(VLOOKUP(Table4[[#This Row],[Trade ID]],Table3[#All],11,FALSE),"Missing")</f>
        <v>Settled</v>
      </c>
      <c r="I14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5" spans="1:9" x14ac:dyDescent="0.3">
      <c r="A15" s="2" t="s">
        <v>48</v>
      </c>
      <c r="B15">
        <f>VLOOKUP(A15,Table2[#All],7,FALSE)</f>
        <v>100</v>
      </c>
      <c r="C15">
        <f>IFERROR(VLOOKUP(A15,Table3[#All],7,FALSE),"Missing")</f>
        <v>100</v>
      </c>
      <c r="D15" t="str">
        <f>IF(Table4[[#This Row],[Broker Qty]]="Missing","Missing",IF(Table4[[#This Row],[Internal Qty]]=Table4[[#This Row],[Broker Qty]],"Match","Break"))</f>
        <v>Match</v>
      </c>
      <c r="E15">
        <f>VLOOKUP(A15,Table2[#All],8,FALSE)</f>
        <v>205</v>
      </c>
      <c r="F15">
        <f>IFERROR(VLOOKUP(Table4[[#This Row],[Trade ID]],Table3[#All],8,FALSE),"Missing")</f>
        <v>205</v>
      </c>
      <c r="G15" t="str">
        <f>IF(Table4[[#This Row],[Internal Price]]=Table4[[#This Row],[Broker Price]],"Match","Break")</f>
        <v>Match</v>
      </c>
      <c r="H15" t="str">
        <f>IFERROR(VLOOKUP(Table4[[#This Row],[Trade ID]],Table3[#All],11,FALSE),"Missing")</f>
        <v>Settled</v>
      </c>
      <c r="I15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6" spans="1:9" x14ac:dyDescent="0.3">
      <c r="A16" s="3" t="s">
        <v>50</v>
      </c>
      <c r="B16">
        <f>VLOOKUP(A16,Table2[#All],7,FALSE)</f>
        <v>250</v>
      </c>
      <c r="C16" t="str">
        <f>IFERROR(VLOOKUP(A16,Table3[#All],7,FALSE),"Missing")</f>
        <v>Missing</v>
      </c>
      <c r="D16" t="str">
        <f>IF(Table4[[#This Row],[Broker Qty]]="Missing","Missing",IF(Table4[[#This Row],[Internal Qty]]=Table4[[#This Row],[Broker Qty]],"Match","Break"))</f>
        <v>Missing</v>
      </c>
      <c r="E16">
        <f>VLOOKUP(A16,Table2[#All],8,FALSE)</f>
        <v>99.8</v>
      </c>
      <c r="F16" t="str">
        <f>IFERROR(VLOOKUP(Table4[[#This Row],[Trade ID]],Table3[#All],8,FALSE),"Missing")</f>
        <v>Missing</v>
      </c>
      <c r="G16" t="str">
        <f>IF(Table4[[#This Row],[Internal Price]]=Table4[[#This Row],[Broker Price]],"Match","Break")</f>
        <v>Break</v>
      </c>
      <c r="H16" t="str">
        <f>IFERROR(VLOOKUP(Table4[[#This Row],[Trade ID]],Table3[#All],11,FALSE),"Missing")</f>
        <v>Missing</v>
      </c>
      <c r="I16" t="str">
        <f>IF(Table4[[#This Row],[Broker Qty]]="Missing","Missing Trade",IF(Table4[[#This Row],[Qty Match]]="Break","Quantity Break",IF(Table4[[#This Row],[Price Match]]="Break","Price Break","No Break")))</f>
        <v>Missing Trade</v>
      </c>
    </row>
    <row r="17" spans="1:9" x14ac:dyDescent="0.3">
      <c r="A17" s="2" t="s">
        <v>52</v>
      </c>
      <c r="B17">
        <f>VLOOKUP(A17,Table2[#All],7,FALSE)</f>
        <v>15</v>
      </c>
      <c r="C17">
        <f>IFERROR(VLOOKUP(A17,Table3[#All],7,FALSE),"Missing")</f>
        <v>15</v>
      </c>
      <c r="D17" t="str">
        <f>IF(Table4[[#This Row],[Broker Qty]]="Missing","Missing",IF(Table4[[#This Row],[Internal Qty]]=Table4[[#This Row],[Broker Qty]],"Match","Break"))</f>
        <v>Match</v>
      </c>
      <c r="E17">
        <f>VLOOKUP(A17,Table2[#All],8,FALSE)</f>
        <v>82</v>
      </c>
      <c r="F17">
        <f>IFERROR(VLOOKUP(Table4[[#This Row],[Trade ID]],Table3[#All],8,FALSE),"Missing")</f>
        <v>82</v>
      </c>
      <c r="G17" t="str">
        <f>IF(Table4[[#This Row],[Internal Price]]=Table4[[#This Row],[Broker Price]],"Match","Break")</f>
        <v>Match</v>
      </c>
      <c r="H17" t="str">
        <f>IFERROR(VLOOKUP(Table4[[#This Row],[Trade ID]],Table3[#All],11,FALSE),"Missing")</f>
        <v>Failed</v>
      </c>
      <c r="I17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8" spans="1:9" x14ac:dyDescent="0.3">
      <c r="A18" s="3" t="s">
        <v>55</v>
      </c>
      <c r="B18">
        <f>VLOOKUP(A18,Table2[#All],7,FALSE)</f>
        <v>80</v>
      </c>
      <c r="C18">
        <f>IFERROR(VLOOKUP(A18,Table3[#All],7,FALSE),"Missing")</f>
        <v>80</v>
      </c>
      <c r="D18" t="str">
        <f>IF(Table4[[#This Row],[Broker Qty]]="Missing","Missing",IF(Table4[[#This Row],[Internal Qty]]=Table4[[#This Row],[Broker Qty]],"Match","Break"))</f>
        <v>Match</v>
      </c>
      <c r="E18">
        <f>VLOOKUP(A18,Table2[#All],8,FALSE)</f>
        <v>198</v>
      </c>
      <c r="F18">
        <f>IFERROR(VLOOKUP(Table4[[#This Row],[Trade ID]],Table3[#All],8,FALSE),"Missing")</f>
        <v>198</v>
      </c>
      <c r="G18" t="str">
        <f>IF(Table4[[#This Row],[Internal Price]]=Table4[[#This Row],[Broker Price]],"Match","Break")</f>
        <v>Match</v>
      </c>
      <c r="H18" t="str">
        <f>IFERROR(VLOOKUP(Table4[[#This Row],[Trade ID]],Table3[#All],11,FALSE),"Missing")</f>
        <v>Settled</v>
      </c>
      <c r="I18" t="str">
        <f>IF(Table4[[#This Row],[Broker Qty]]="Missing","Missing Trade",IF(Table4[[#This Row],[Qty Match]]="Break","Quantity Break",IF(Table4[[#This Row],[Price Match]]="Break","Price Break","No Break")))</f>
        <v>No Break</v>
      </c>
    </row>
    <row r="19" spans="1:9" x14ac:dyDescent="0.3">
      <c r="A19" s="2" t="s">
        <v>57</v>
      </c>
      <c r="B19">
        <f>VLOOKUP(A19,Table2[#All],7,FALSE)</f>
        <v>200</v>
      </c>
      <c r="C19">
        <f>IFERROR(VLOOKUP(A19,Table3[#All],7,FALSE),"Missing")</f>
        <v>200</v>
      </c>
      <c r="D19" t="str">
        <f>IF(Table4[[#This Row],[Broker Qty]]="Missing","Missing",IF(Table4[[#This Row],[Internal Qty]]=Table4[[#This Row],[Broker Qty]],"Match","Break"))</f>
        <v>Match</v>
      </c>
      <c r="E19">
        <f>VLOOKUP(A19,Table2[#All],8,FALSE)</f>
        <v>38</v>
      </c>
      <c r="F19">
        <f>IFERROR(VLOOKUP(Table4[[#This Row],[Trade ID]],Table3[#All],8,FALSE),"Missing")</f>
        <v>38</v>
      </c>
      <c r="G19" t="str">
        <f>IF(Table4[[#This Row],[Internal Price]]=Table4[[#This Row],[Broker Price]],"Match","Break")</f>
        <v>Match</v>
      </c>
      <c r="H19" t="str">
        <f>IFERROR(VLOOKUP(Table4[[#This Row],[Trade ID]],Table3[#All],11,FALSE),"Missing")</f>
        <v>Settled</v>
      </c>
      <c r="I19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0" spans="1:9" x14ac:dyDescent="0.3">
      <c r="A20" s="3" t="s">
        <v>59</v>
      </c>
      <c r="B20">
        <f>VLOOKUP(A20,Table2[#All],7,FALSE)</f>
        <v>70</v>
      </c>
      <c r="C20">
        <f>IFERROR(VLOOKUP(A20,Table3[#All],7,FALSE),"Missing")</f>
        <v>70</v>
      </c>
      <c r="D20" t="str">
        <f>IF(Table4[[#This Row],[Broker Qty]]="Missing","Missing",IF(Table4[[#This Row],[Internal Qty]]=Table4[[#This Row],[Broker Qty]],"Match","Break"))</f>
        <v>Match</v>
      </c>
      <c r="E20">
        <f>VLOOKUP(A20,Table2[#All],8,FALSE)</f>
        <v>255</v>
      </c>
      <c r="F20">
        <f>IFERROR(VLOOKUP(Table4[[#This Row],[Trade ID]],Table3[#All],8,FALSE),"Missing")</f>
        <v>255</v>
      </c>
      <c r="G20" t="str">
        <f>IF(Table4[[#This Row],[Internal Price]]=Table4[[#This Row],[Broker Price]],"Match","Break")</f>
        <v>Match</v>
      </c>
      <c r="H20" t="str">
        <f>IFERROR(VLOOKUP(Table4[[#This Row],[Trade ID]],Table3[#All],11,FALSE),"Missing")</f>
        <v>Pending</v>
      </c>
      <c r="I20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1" spans="1:9" x14ac:dyDescent="0.3">
      <c r="A21" s="2" t="s">
        <v>61</v>
      </c>
      <c r="B21">
        <f>VLOOKUP(A21,Table2[#All],7,FALSE)</f>
        <v>300</v>
      </c>
      <c r="C21">
        <f>IFERROR(VLOOKUP(A21,Table3[#All],7,FALSE),"Missing")</f>
        <v>300</v>
      </c>
      <c r="D21" t="str">
        <f>IF(Table4[[#This Row],[Broker Qty]]="Missing","Missing",IF(Table4[[#This Row],[Internal Qty]]=Table4[[#This Row],[Broker Qty]],"Match","Break"))</f>
        <v>Match</v>
      </c>
      <c r="E21">
        <f>VLOOKUP(A21,Table2[#All],8,FALSE)</f>
        <v>99.1</v>
      </c>
      <c r="F21">
        <f>IFERROR(VLOOKUP(Table4[[#This Row],[Trade ID]],Table3[#All],8,FALSE),"Missing")</f>
        <v>99.1</v>
      </c>
      <c r="G21" t="str">
        <f>IF(Table4[[#This Row],[Internal Price]]=Table4[[#This Row],[Broker Price]],"Match","Break")</f>
        <v>Match</v>
      </c>
      <c r="H21" t="str">
        <f>IFERROR(VLOOKUP(Table4[[#This Row],[Trade ID]],Table3[#All],11,FALSE),"Missing")</f>
        <v>Settled</v>
      </c>
      <c r="I21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2" spans="1:9" x14ac:dyDescent="0.3">
      <c r="A22" s="3" t="s">
        <v>63</v>
      </c>
      <c r="B22">
        <f>VLOOKUP(A22,Table2[#All],7,FALSE)</f>
        <v>45</v>
      </c>
      <c r="C22">
        <f>IFERROR(VLOOKUP(A22,Table3[#All],7,FALSE),"Missing")</f>
        <v>45</v>
      </c>
      <c r="D22" t="str">
        <f>IF(Table4[[#This Row],[Broker Qty]]="Missing","Missing",IF(Table4[[#This Row],[Internal Qty]]=Table4[[#This Row],[Broker Qty]],"Match","Break"))</f>
        <v>Match</v>
      </c>
      <c r="E22">
        <f>VLOOKUP(A22,Table2[#All],8,FALSE)</f>
        <v>160</v>
      </c>
      <c r="F22">
        <f>IFERROR(VLOOKUP(Table4[[#This Row],[Trade ID]],Table3[#All],8,FALSE),"Missing")</f>
        <v>160</v>
      </c>
      <c r="G22" t="str">
        <f>IF(Table4[[#This Row],[Internal Price]]=Table4[[#This Row],[Broker Price]],"Match","Break")</f>
        <v>Match</v>
      </c>
      <c r="H22" t="str">
        <f>IFERROR(VLOOKUP(Table4[[#This Row],[Trade ID]],Table3[#All],11,FALSE),"Missing")</f>
        <v>Settled</v>
      </c>
      <c r="I22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3" spans="1:9" x14ac:dyDescent="0.3">
      <c r="A23" s="2" t="s">
        <v>65</v>
      </c>
      <c r="B23">
        <f>VLOOKUP(A23,Table2[#All],7,FALSE)</f>
        <v>8</v>
      </c>
      <c r="C23">
        <f>IFERROR(VLOOKUP(A23,Table3[#All],7,FALSE),"Missing")</f>
        <v>8</v>
      </c>
      <c r="D23" t="str">
        <f>IF(Table4[[#This Row],[Broker Qty]]="Missing","Missing",IF(Table4[[#This Row],[Internal Qty]]=Table4[[#This Row],[Broker Qty]],"Match","Break"))</f>
        <v>Match</v>
      </c>
      <c r="E23">
        <f>VLOOKUP(A23,Table2[#All],8,FALSE)</f>
        <v>18200</v>
      </c>
      <c r="F23">
        <f>IFERROR(VLOOKUP(Table4[[#This Row],[Trade ID]],Table3[#All],8,FALSE),"Missing")</f>
        <v>18200</v>
      </c>
      <c r="G23" t="str">
        <f>IF(Table4[[#This Row],[Internal Price]]=Table4[[#This Row],[Broker Price]],"Match","Break")</f>
        <v>Match</v>
      </c>
      <c r="H23" t="str">
        <f>IFERROR(VLOOKUP(Table4[[#This Row],[Trade ID]],Table3[#All],11,FALSE),"Missing")</f>
        <v>Settled</v>
      </c>
      <c r="I23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4" spans="1:9" x14ac:dyDescent="0.3">
      <c r="A24" s="3" t="s">
        <v>67</v>
      </c>
      <c r="B24">
        <f>VLOOKUP(A24,Table2[#All],7,FALSE)</f>
        <v>65</v>
      </c>
      <c r="C24">
        <f>IFERROR(VLOOKUP(A24,Table3[#All],7,FALSE),"Missing")</f>
        <v>65</v>
      </c>
      <c r="D24" t="str">
        <f>IF(Table4[[#This Row],[Broker Qty]]="Missing","Missing",IF(Table4[[#This Row],[Internal Qty]]=Table4[[#This Row],[Broker Qty]],"Match","Break"))</f>
        <v>Match</v>
      </c>
      <c r="E24">
        <f>VLOOKUP(A24,Table2[#All],8,FALSE)</f>
        <v>275</v>
      </c>
      <c r="F24">
        <f>IFERROR(VLOOKUP(Table4[[#This Row],[Trade ID]],Table3[#All],8,FALSE),"Missing")</f>
        <v>275</v>
      </c>
      <c r="G24" t="str">
        <f>IF(Table4[[#This Row],[Internal Price]]=Table4[[#This Row],[Broker Price]],"Match","Break")</f>
        <v>Match</v>
      </c>
      <c r="H24" t="str">
        <f>IFERROR(VLOOKUP(Table4[[#This Row],[Trade ID]],Table3[#All],11,FALSE),"Missing")</f>
        <v>Settled</v>
      </c>
      <c r="I24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5" spans="1:9" x14ac:dyDescent="0.3">
      <c r="A25" s="2" t="s">
        <v>69</v>
      </c>
      <c r="B25">
        <f>VLOOKUP(A25,Table2[#All],7,FALSE)</f>
        <v>110</v>
      </c>
      <c r="C25">
        <f>IFERROR(VLOOKUP(A25,Table3[#All],7,FALSE),"Missing")</f>
        <v>110</v>
      </c>
      <c r="D25" t="str">
        <f>IF(Table4[[#This Row],[Broker Qty]]="Missing","Missing",IF(Table4[[#This Row],[Internal Qty]]=Table4[[#This Row],[Broker Qty]],"Match","Break"))</f>
        <v>Match</v>
      </c>
      <c r="E25">
        <f>VLOOKUP(A25,Table2[#All],8,FALSE)</f>
        <v>78</v>
      </c>
      <c r="F25">
        <f>IFERROR(VLOOKUP(Table4[[#This Row],[Trade ID]],Table3[#All],8,FALSE),"Missing")</f>
        <v>78</v>
      </c>
      <c r="G25" t="str">
        <f>IF(Table4[[#This Row],[Internal Price]]=Table4[[#This Row],[Broker Price]],"Match","Break")</f>
        <v>Match</v>
      </c>
      <c r="H25" t="str">
        <f>IFERROR(VLOOKUP(Table4[[#This Row],[Trade ID]],Table3[#All],11,FALSE),"Missing")</f>
        <v>Settled</v>
      </c>
      <c r="I25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6" spans="1:9" x14ac:dyDescent="0.3">
      <c r="A26" s="3" t="s">
        <v>71</v>
      </c>
      <c r="B26">
        <f>VLOOKUP(A26,Table2[#All],7,FALSE)</f>
        <v>180</v>
      </c>
      <c r="C26">
        <f>IFERROR(VLOOKUP(A26,Table3[#All],7,FALSE),"Missing")</f>
        <v>180</v>
      </c>
      <c r="D26" t="str">
        <f>IF(Table4[[#This Row],[Broker Qty]]="Missing","Missing",IF(Table4[[#This Row],[Internal Qty]]=Table4[[#This Row],[Broker Qty]],"Match","Break"))</f>
        <v>Match</v>
      </c>
      <c r="E26">
        <f>VLOOKUP(A26,Table2[#All],8,FALSE)</f>
        <v>102.4</v>
      </c>
      <c r="F26">
        <f>IFERROR(VLOOKUP(Table4[[#This Row],[Trade ID]],Table3[#All],8,FALSE),"Missing")</f>
        <v>102.4</v>
      </c>
      <c r="G26" t="str">
        <f>IF(Table4[[#This Row],[Internal Price]]=Table4[[#This Row],[Broker Price]],"Match","Break")</f>
        <v>Match</v>
      </c>
      <c r="H26" t="str">
        <f>IFERROR(VLOOKUP(Table4[[#This Row],[Trade ID]],Table3[#All],11,FALSE),"Missing")</f>
        <v>Settled</v>
      </c>
      <c r="I26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7" spans="1:9" x14ac:dyDescent="0.3">
      <c r="A27" s="2" t="s">
        <v>73</v>
      </c>
      <c r="B27">
        <f>VLOOKUP(A27,Table2[#All],7,FALSE)</f>
        <v>35</v>
      </c>
      <c r="C27">
        <f>IFERROR(VLOOKUP(A27,Table3[#All],7,FALSE),"Missing")</f>
        <v>35</v>
      </c>
      <c r="D27" t="str">
        <f>IF(Table4[[#This Row],[Broker Qty]]="Missing","Missing",IF(Table4[[#This Row],[Internal Qty]]=Table4[[#This Row],[Broker Qty]],"Match","Break"))</f>
        <v>Match</v>
      </c>
      <c r="E27">
        <f>VLOOKUP(A27,Table2[#All],8,FALSE)</f>
        <v>285</v>
      </c>
      <c r="F27">
        <f>IFERROR(VLOOKUP(Table4[[#This Row],[Trade ID]],Table3[#All],8,FALSE),"Missing")</f>
        <v>285</v>
      </c>
      <c r="G27" t="str">
        <f>IF(Table4[[#This Row],[Internal Price]]=Table4[[#This Row],[Broker Price]],"Match","Break")</f>
        <v>Match</v>
      </c>
      <c r="H27" t="str">
        <f>IFERROR(VLOOKUP(Table4[[#This Row],[Trade ID]],Table3[#All],11,FALSE),"Missing")</f>
        <v>Settled</v>
      </c>
      <c r="I27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8" spans="1:9" x14ac:dyDescent="0.3">
      <c r="A28" s="3" t="s">
        <v>75</v>
      </c>
      <c r="B28">
        <f>VLOOKUP(A28,Table2[#All],7,FALSE)</f>
        <v>25</v>
      </c>
      <c r="C28">
        <f>IFERROR(VLOOKUP(A28,Table3[#All],7,FALSE),"Missing")</f>
        <v>25</v>
      </c>
      <c r="D28" t="str">
        <f>IF(Table4[[#This Row],[Broker Qty]]="Missing","Missing",IF(Table4[[#This Row],[Internal Qty]]=Table4[[#This Row],[Broker Qty]],"Match","Break"))</f>
        <v>Match</v>
      </c>
      <c r="E28">
        <f>VLOOKUP(A28,Table2[#All],8,FALSE)</f>
        <v>470</v>
      </c>
      <c r="F28">
        <f>IFERROR(VLOOKUP(Table4[[#This Row],[Trade ID]],Table3[#All],8,FALSE),"Missing")</f>
        <v>470</v>
      </c>
      <c r="G28" t="str">
        <f>IF(Table4[[#This Row],[Internal Price]]=Table4[[#This Row],[Broker Price]],"Match","Break")</f>
        <v>Match</v>
      </c>
      <c r="H28" t="str">
        <f>IFERROR(VLOOKUP(Table4[[#This Row],[Trade ID]],Table3[#All],11,FALSE),"Missing")</f>
        <v>Settled</v>
      </c>
      <c r="I28" t="str">
        <f>IF(Table4[[#This Row],[Broker Qty]]="Missing","Missing Trade",IF(Table4[[#This Row],[Qty Match]]="Break","Quantity Break",IF(Table4[[#This Row],[Price Match]]="Break","Price Break","No Break")))</f>
        <v>No Break</v>
      </c>
    </row>
    <row r="29" spans="1:9" x14ac:dyDescent="0.3">
      <c r="A29" s="2" t="s">
        <v>77</v>
      </c>
      <c r="B29">
        <f>VLOOKUP(A29,Table2[#All],7,FALSE)</f>
        <v>12</v>
      </c>
      <c r="C29">
        <f>IFERROR(VLOOKUP(A29,Table3[#All],7,FALSE),"Missing")</f>
        <v>12</v>
      </c>
      <c r="D29" t="str">
        <f>IF(Table4[[#This Row],[Broker Qty]]="Missing","Missing",IF(Table4[[#This Row],[Internal Qty]]=Table4[[#This Row],[Broker Qty]],"Match","Break"))</f>
        <v>Match</v>
      </c>
      <c r="E29">
        <f>VLOOKUP(A29,Table2[#All],8,FALSE)</f>
        <v>2350</v>
      </c>
      <c r="F29">
        <f>IFERROR(VLOOKUP(Table4[[#This Row],[Trade ID]],Table3[#All],8,FALSE),"Missing")</f>
        <v>2360</v>
      </c>
      <c r="G29" t="str">
        <f>IF(Table4[[#This Row],[Internal Price]]=Table4[[#This Row],[Broker Price]],"Match","Break")</f>
        <v>Break</v>
      </c>
      <c r="H29" t="str">
        <f>IFERROR(VLOOKUP(Table4[[#This Row],[Trade ID]],Table3[#All],11,FALSE),"Missing")</f>
        <v>Failed</v>
      </c>
      <c r="I29" t="str">
        <f>IF(Table4[[#This Row],[Broker Qty]]="Missing","Missing Trade",IF(Table4[[#This Row],[Qty Match]]="Break","Quantity Break",IF(Table4[[#This Row],[Price Match]]="Break","Price Break","No Break")))</f>
        <v>Price Break</v>
      </c>
    </row>
    <row r="30" spans="1:9" x14ac:dyDescent="0.3">
      <c r="A30" s="3" t="s">
        <v>79</v>
      </c>
      <c r="B30">
        <f>VLOOKUP(A30,Table2[#All],7,FALSE)</f>
        <v>95</v>
      </c>
      <c r="C30">
        <f>IFERROR(VLOOKUP(A30,Table3[#All],7,FALSE),"Missing")</f>
        <v>95</v>
      </c>
      <c r="D30" t="str">
        <f>IF(Table4[[#This Row],[Broker Qty]]="Missing","Missing",IF(Table4[[#This Row],[Internal Qty]]=Table4[[#This Row],[Broker Qty]],"Match","Break"))</f>
        <v>Match</v>
      </c>
      <c r="E30">
        <f>VLOOKUP(A30,Table2[#All],8,FALSE)</f>
        <v>48</v>
      </c>
      <c r="F30">
        <f>IFERROR(VLOOKUP(Table4[[#This Row],[Trade ID]],Table3[#All],8,FALSE),"Missing")</f>
        <v>48</v>
      </c>
      <c r="G30" t="str">
        <f>IF(Table4[[#This Row],[Internal Price]]=Table4[[#This Row],[Broker Price]],"Match","Break")</f>
        <v>Match</v>
      </c>
      <c r="H30" t="str">
        <f>IFERROR(VLOOKUP(Table4[[#This Row],[Trade ID]],Table3[#All],11,FALSE),"Missing")</f>
        <v>Settled</v>
      </c>
      <c r="I30" t="str">
        <f>IF(Table4[[#This Row],[Broker Qty]]="Missing","Missing Trade",IF(Table4[[#This Row],[Qty Match]]="Break","Quantity Break",IF(Table4[[#This Row],[Price Match]]="Break","Price Break","No Break")))</f>
        <v>No Break</v>
      </c>
    </row>
    <row r="31" spans="1:9" x14ac:dyDescent="0.3">
      <c r="A31" s="2" t="s">
        <v>81</v>
      </c>
      <c r="B31">
        <f>VLOOKUP(A31,Table2[#All],7,FALSE)</f>
        <v>130</v>
      </c>
      <c r="C31">
        <f>IFERROR(VLOOKUP(A31,Table3[#All],7,FALSE),"Missing")</f>
        <v>130</v>
      </c>
      <c r="D31" t="str">
        <f>IF(Table4[[#This Row],[Broker Qty]]="Missing","Missing",IF(Table4[[#This Row],[Internal Qty]]=Table4[[#This Row],[Broker Qty]],"Match","Break"))</f>
        <v>Match</v>
      </c>
      <c r="E31">
        <f>VLOOKUP(A31,Table2[#All],8,FALSE)</f>
        <v>76</v>
      </c>
      <c r="F31">
        <f>IFERROR(VLOOKUP(Table4[[#This Row],[Trade ID]],Table3[#All],8,FALSE),"Missing")</f>
        <v>76</v>
      </c>
      <c r="G31" t="str">
        <f>IF(Table4[[#This Row],[Internal Price]]=Table4[[#This Row],[Broker Price]],"Match","Break")</f>
        <v>Match</v>
      </c>
      <c r="H31" t="str">
        <f>IFERROR(VLOOKUP(Table4[[#This Row],[Trade ID]],Table3[#All],11,FALSE),"Missing")</f>
        <v>Settled</v>
      </c>
      <c r="I31" t="str">
        <f>IF(Table4[[#This Row],[Broker Qty]]="Missing","Missing Trade",IF(Table4[[#This Row],[Qty Match]]="Break","Quantity Break",IF(Table4[[#This Row],[Price Match]]="Break","Price Break","No Break")))</f>
        <v>No Break</v>
      </c>
    </row>
    <row r="32" spans="1:9" x14ac:dyDescent="0.3">
      <c r="A32" s="3" t="s">
        <v>83</v>
      </c>
      <c r="B32">
        <f>VLOOKUP(A32,Table2[#All],7,FALSE)</f>
        <v>28</v>
      </c>
      <c r="C32">
        <f>IFERROR(VLOOKUP(A32,Table3[#All],7,FALSE),"Missing")</f>
        <v>28</v>
      </c>
      <c r="D32" t="str">
        <f>IF(Table4[[#This Row],[Broker Qty]]="Missing","Missing",IF(Table4[[#This Row],[Internal Qty]]=Table4[[#This Row],[Broker Qty]],"Match","Break"))</f>
        <v>Match</v>
      </c>
      <c r="E32">
        <f>VLOOKUP(A32,Table2[#All],8,FALSE)</f>
        <v>525</v>
      </c>
      <c r="F32">
        <f>IFERROR(VLOOKUP(Table4[[#This Row],[Trade ID]],Table3[#All],8,FALSE),"Missing")</f>
        <v>525</v>
      </c>
      <c r="G32" t="str">
        <f>IF(Table4[[#This Row],[Internal Price]]=Table4[[#This Row],[Broker Price]],"Match","Break")</f>
        <v>Match</v>
      </c>
      <c r="H32" t="str">
        <f>IFERROR(VLOOKUP(Table4[[#This Row],[Trade ID]],Table3[#All],11,FALSE),"Missing")</f>
        <v>Settled</v>
      </c>
      <c r="I32" t="str">
        <f>IF(Table4[[#This Row],[Broker Qty]]="Missing","Missing Trade",IF(Table4[[#This Row],[Qty Match]]="Break","Quantity Break",IF(Table4[[#This Row],[Price Match]]="Break","Price Break","No Break")))</f>
        <v>No Break</v>
      </c>
    </row>
  </sheetData>
  <conditionalFormatting sqref="A1">
    <cfRule type="duplicateValues" dxfId="2" priority="3"/>
  </conditionalFormatting>
  <conditionalFormatting sqref="G1:G1048576">
    <cfRule type="containsText" dxfId="1" priority="1" operator="containsText" text="Match">
      <formula>NOT(ISERROR(SEARCH("Match",G1)))</formula>
    </cfRule>
    <cfRule type="containsText" dxfId="0" priority="2" operator="containsText" text="Break">
      <formula>NOT(ISERROR(SEARCH("Break",G1)))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B3FC-F159-446B-AAE9-F521B4F21A92}">
  <dimension ref="A1:F43"/>
  <sheetViews>
    <sheetView workbookViewId="0">
      <pane ySplit="5" topLeftCell="A6" activePane="bottomLeft" state="frozen"/>
      <selection pane="bottomLeft" activeCell="O35" sqref="O35"/>
    </sheetView>
  </sheetViews>
  <sheetFormatPr defaultRowHeight="14.4" x14ac:dyDescent="0.3"/>
  <cols>
    <col min="1" max="1" width="9.88671875" customWidth="1"/>
    <col min="2" max="2" width="14.77734375" bestFit="1" customWidth="1"/>
    <col min="3" max="3" width="46.109375" bestFit="1" customWidth="1"/>
    <col min="4" max="4" width="27.5546875" bestFit="1" customWidth="1"/>
  </cols>
  <sheetData>
    <row r="1" spans="1:5" ht="28.8" x14ac:dyDescent="0.3">
      <c r="A1" s="4" t="s">
        <v>0</v>
      </c>
      <c r="B1" s="4" t="s">
        <v>94</v>
      </c>
      <c r="C1" s="4" t="s">
        <v>95</v>
      </c>
      <c r="D1" s="4" t="s">
        <v>96</v>
      </c>
      <c r="E1" s="4" t="s">
        <v>10</v>
      </c>
    </row>
    <row r="2" spans="1:5" hidden="1" x14ac:dyDescent="0.3">
      <c r="A2" t="str">
        <f>IF(Table4[[#This Row],[Break Type]]&lt;&gt;"No Break",Table4[[#This Row],[Trade ID]],"")</f>
        <v/>
      </c>
      <c r="B2" t="str">
        <f>IF(Table4[[#This Row],[Break Type]]&lt;&gt;"No Break",Table4[[#This Row],[Break Type]],"")</f>
        <v/>
      </c>
      <c r="C2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" t="str">
        <f>IF(Table1[[#This Row],[Trade ID]]="","","Open")</f>
        <v/>
      </c>
    </row>
    <row r="3" spans="1:5" hidden="1" x14ac:dyDescent="0.3">
      <c r="A3" t="str">
        <f>IF(Table4[[#This Row],[Break Type]]&lt;&gt;"No Break",Table4[[#This Row],[Trade ID]],"")</f>
        <v/>
      </c>
      <c r="B3" t="str">
        <f>IF(Table4[[#This Row],[Break Type]]&lt;&gt;"No Break",Table4[[#This Row],[Break Type]],"")</f>
        <v/>
      </c>
      <c r="C3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3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3" t="str">
        <f>IF(Table1[[#This Row],[Trade ID]]="","","Open")</f>
        <v/>
      </c>
    </row>
    <row r="4" spans="1:5" hidden="1" x14ac:dyDescent="0.3">
      <c r="A4" t="str">
        <f>IF(Table4[[#This Row],[Break Type]]&lt;&gt;"No Break",Table4[[#This Row],[Trade ID]],"")</f>
        <v/>
      </c>
      <c r="B4" t="str">
        <f>IF(Table4[[#This Row],[Break Type]]&lt;&gt;"No Break",Table4[[#This Row],[Break Type]],"")</f>
        <v/>
      </c>
      <c r="C4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4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4" t="str">
        <f>IF(Table1[[#This Row],[Trade ID]]="","","Open")</f>
        <v/>
      </c>
    </row>
    <row r="5" spans="1:5" hidden="1" x14ac:dyDescent="0.3">
      <c r="A5" t="str">
        <f>IF(Table4[[#This Row],[Break Type]]&lt;&gt;"No Break",Table4[[#This Row],[Trade ID]],"")</f>
        <v/>
      </c>
      <c r="B5" t="str">
        <f>IF(Table4[[#This Row],[Break Type]]&lt;&gt;"No Break",Table4[[#This Row],[Break Type]],"")</f>
        <v/>
      </c>
      <c r="C5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5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5" t="str">
        <f>IF(Table1[[#This Row],[Trade ID]]="","","Open")</f>
        <v/>
      </c>
    </row>
    <row r="6" spans="1:5" x14ac:dyDescent="0.3">
      <c r="A6" t="str">
        <f>IF(Table4[[#This Row],[Break Type]]&lt;&gt;"No Break",Table4[[#This Row],[Trade ID]],"")</f>
        <v>T0043</v>
      </c>
      <c r="B6" t="str">
        <f>IF(Table4[[#This Row],[Break Type]]&lt;&gt;"No Break",Table4[[#This Row],[Break Type]],"")</f>
        <v>Quantity Break</v>
      </c>
      <c r="C6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>Quantity mismatch between Internal Trade and Broker</v>
      </c>
      <c r="D6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>Confirm quantity with broker</v>
      </c>
      <c r="E6" t="str">
        <f>IF(Table1[[#This Row],[Trade ID]]="","","Open")</f>
        <v>Open</v>
      </c>
    </row>
    <row r="7" spans="1:5" x14ac:dyDescent="0.3">
      <c r="A7" t="str">
        <f>IF(Table4[[#This Row],[Break Type]]&lt;&gt;"No Break",Table4[[#This Row],[Trade ID]],"")</f>
        <v>T005</v>
      </c>
      <c r="B7" t="str">
        <f>IF(Table4[[#This Row],[Break Type]]&lt;&gt;"No Break",Table4[[#This Row],[Break Type]],"")</f>
        <v>Quantity Break</v>
      </c>
      <c r="C7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>Quantity mismatch between Internal Trade and Broker</v>
      </c>
      <c r="D7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>Confirm quantity with broker</v>
      </c>
      <c r="E7" t="str">
        <f>IF(Table1[[#This Row],[Trade ID]]="","","Open")</f>
        <v>Open</v>
      </c>
    </row>
    <row r="8" spans="1:5" hidden="1" x14ac:dyDescent="0.3">
      <c r="A8" t="str">
        <f>IF(Table4[[#This Row],[Break Type]]&lt;&gt;"No Break",Table4[[#This Row],[Trade ID]],"")</f>
        <v/>
      </c>
      <c r="B8" t="str">
        <f>IF(Table4[[#This Row],[Break Type]]&lt;&gt;"No Break",Table4[[#This Row],[Break Type]],"")</f>
        <v/>
      </c>
      <c r="C8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8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8" t="str">
        <f>IF(Table1[[#This Row],[Trade ID]]="","","Open")</f>
        <v/>
      </c>
    </row>
    <row r="9" spans="1:5" hidden="1" x14ac:dyDescent="0.3">
      <c r="A9" t="str">
        <f>IF(Table4[[#This Row],[Break Type]]&lt;&gt;"No Break",Table4[[#This Row],[Trade ID]],"")</f>
        <v/>
      </c>
      <c r="B9" t="str">
        <f>IF(Table4[[#This Row],[Break Type]]&lt;&gt;"No Break",Table4[[#This Row],[Break Type]],"")</f>
        <v/>
      </c>
      <c r="C9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9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9" t="str">
        <f>IF(Table1[[#This Row],[Trade ID]]="","","Open")</f>
        <v/>
      </c>
    </row>
    <row r="10" spans="1:5" hidden="1" x14ac:dyDescent="0.3">
      <c r="A10" t="str">
        <f>IF(Table4[[#This Row],[Break Type]]&lt;&gt;"No Break",Table4[[#This Row],[Trade ID]],"")</f>
        <v/>
      </c>
      <c r="B10" t="str">
        <f>IF(Table4[[#This Row],[Break Type]]&lt;&gt;"No Break",Table4[[#This Row],[Break Type]],"")</f>
        <v/>
      </c>
      <c r="C10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0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0" t="str">
        <f>IF(Table1[[#This Row],[Trade ID]]="","","Open")</f>
        <v/>
      </c>
    </row>
    <row r="11" spans="1:5" x14ac:dyDescent="0.3">
      <c r="A11" t="str">
        <f>IF(Table4[[#This Row],[Break Type]]&lt;&gt;"No Break",Table4[[#This Row],[Trade ID]],"")</f>
        <v>T009</v>
      </c>
      <c r="B11" t="str">
        <f>IF(Table4[[#This Row],[Break Type]]&lt;&gt;"No Break",Table4[[#This Row],[Break Type]],"")</f>
        <v>Price Break</v>
      </c>
      <c r="C11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>Price mismatch between Internal Trade and Broker</v>
      </c>
      <c r="D11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>Check price with brocker</v>
      </c>
      <c r="E11" t="str">
        <f>IF(Table1[[#This Row],[Trade ID]]="","","Open")</f>
        <v>Open</v>
      </c>
    </row>
    <row r="12" spans="1:5" hidden="1" x14ac:dyDescent="0.3">
      <c r="A12" t="str">
        <f>IF(Table4[[#This Row],[Break Type]]&lt;&gt;"No Break",Table4[[#This Row],[Trade ID]],"")</f>
        <v/>
      </c>
      <c r="B12" t="str">
        <f>IF(Table4[[#This Row],[Break Type]]&lt;&gt;"No Break",Table4[[#This Row],[Break Type]],"")</f>
        <v/>
      </c>
      <c r="C12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2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2" t="str">
        <f>IF(Table1[[#This Row],[Trade ID]]="","","Open")</f>
        <v/>
      </c>
    </row>
    <row r="13" spans="1:5" hidden="1" x14ac:dyDescent="0.3">
      <c r="A13" t="str">
        <f>IF(Table4[[#This Row],[Break Type]]&lt;&gt;"No Break",Table4[[#This Row],[Trade ID]],"")</f>
        <v/>
      </c>
      <c r="B13" t="str">
        <f>IF(Table4[[#This Row],[Break Type]]&lt;&gt;"No Break",Table4[[#This Row],[Break Type]],"")</f>
        <v/>
      </c>
      <c r="C13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3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3" t="str">
        <f>IF(Table1[[#This Row],[Trade ID]]="","","Open")</f>
        <v/>
      </c>
    </row>
    <row r="14" spans="1:5" hidden="1" x14ac:dyDescent="0.3">
      <c r="A14" t="str">
        <f>IF(Table4[[#This Row],[Break Type]]&lt;&gt;"No Break",Table4[[#This Row],[Trade ID]],"")</f>
        <v/>
      </c>
      <c r="B14" t="str">
        <f>IF(Table4[[#This Row],[Break Type]]&lt;&gt;"No Break",Table4[[#This Row],[Break Type]],"")</f>
        <v/>
      </c>
      <c r="C14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4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4" t="str">
        <f>IF(Table1[[#This Row],[Trade ID]]="","","Open")</f>
        <v/>
      </c>
    </row>
    <row r="15" spans="1:5" hidden="1" x14ac:dyDescent="0.3">
      <c r="A15" t="str">
        <f>IF(Table4[[#This Row],[Break Type]]&lt;&gt;"No Break",Table4[[#This Row],[Trade ID]],"")</f>
        <v/>
      </c>
      <c r="B15" t="str">
        <f>IF(Table4[[#This Row],[Break Type]]&lt;&gt;"No Break",Table4[[#This Row],[Break Type]],"")</f>
        <v/>
      </c>
      <c r="C15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5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5" t="str">
        <f>IF(Table1[[#This Row],[Trade ID]]="","","Open")</f>
        <v/>
      </c>
    </row>
    <row r="16" spans="1:5" x14ac:dyDescent="0.3">
      <c r="A16" t="str">
        <f>IF(Table4[[#This Row],[Break Type]]&lt;&gt;"No Break",Table4[[#This Row],[Trade ID]],"")</f>
        <v>T014</v>
      </c>
      <c r="B16" t="str">
        <f>IF(Table4[[#This Row],[Break Type]]&lt;&gt;"No Break",Table4[[#This Row],[Break Type]],"")</f>
        <v>Missing Trade</v>
      </c>
      <c r="C16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>Trade missing in broker data</v>
      </c>
      <c r="D16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>contact broker to confirm Trade</v>
      </c>
      <c r="E16" t="str">
        <f>IF(Table1[[#This Row],[Trade ID]]="","","Open")</f>
        <v>Open</v>
      </c>
    </row>
    <row r="17" spans="1:5" hidden="1" x14ac:dyDescent="0.3">
      <c r="A17" t="str">
        <f>IF(Table4[[#This Row],[Break Type]]&lt;&gt;"No Break",Table4[[#This Row],[Trade ID]],"")</f>
        <v/>
      </c>
      <c r="B17" t="str">
        <f>IF(Table4[[#This Row],[Break Type]]&lt;&gt;"No Break",Table4[[#This Row],[Break Type]],"")</f>
        <v/>
      </c>
      <c r="C17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7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7" t="str">
        <f>IF(Table1[[#This Row],[Trade ID]]="","","Open")</f>
        <v/>
      </c>
    </row>
    <row r="18" spans="1:5" hidden="1" x14ac:dyDescent="0.3">
      <c r="A18" t="str">
        <f>IF(Table4[[#This Row],[Break Type]]&lt;&gt;"No Break",Table4[[#This Row],[Trade ID]],"")</f>
        <v/>
      </c>
      <c r="B18" t="str">
        <f>IF(Table4[[#This Row],[Break Type]]&lt;&gt;"No Break",Table4[[#This Row],[Break Type]],"")</f>
        <v/>
      </c>
      <c r="C18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8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8" t="str">
        <f>IF(Table1[[#This Row],[Trade ID]]="","","Open")</f>
        <v/>
      </c>
    </row>
    <row r="19" spans="1:5" hidden="1" x14ac:dyDescent="0.3">
      <c r="A19" t="str">
        <f>IF(Table4[[#This Row],[Break Type]]&lt;&gt;"No Break",Table4[[#This Row],[Trade ID]],"")</f>
        <v/>
      </c>
      <c r="B19" t="str">
        <f>IF(Table4[[#This Row],[Break Type]]&lt;&gt;"No Break",Table4[[#This Row],[Break Type]],"")</f>
        <v/>
      </c>
      <c r="C19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19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19" t="str">
        <f>IF(Table1[[#This Row],[Trade ID]]="","","Open")</f>
        <v/>
      </c>
    </row>
    <row r="20" spans="1:5" hidden="1" x14ac:dyDescent="0.3">
      <c r="A20" t="str">
        <f>IF(Table4[[#This Row],[Break Type]]&lt;&gt;"No Break",Table4[[#This Row],[Trade ID]],"")</f>
        <v/>
      </c>
      <c r="B20" t="str">
        <f>IF(Table4[[#This Row],[Break Type]]&lt;&gt;"No Break",Table4[[#This Row],[Break Type]],"")</f>
        <v/>
      </c>
      <c r="C20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0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0" t="str">
        <f>IF(Table1[[#This Row],[Trade ID]]="","","Open")</f>
        <v/>
      </c>
    </row>
    <row r="21" spans="1:5" hidden="1" x14ac:dyDescent="0.3">
      <c r="A21" t="str">
        <f>IF(Table4[[#This Row],[Break Type]]&lt;&gt;"No Break",Table4[[#This Row],[Trade ID]],"")</f>
        <v/>
      </c>
      <c r="B21" t="str">
        <f>IF(Table4[[#This Row],[Break Type]]&lt;&gt;"No Break",Table4[[#This Row],[Break Type]],"")</f>
        <v/>
      </c>
      <c r="C21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1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1" t="str">
        <f>IF(Table1[[#This Row],[Trade ID]]="","","Open")</f>
        <v/>
      </c>
    </row>
    <row r="22" spans="1:5" hidden="1" x14ac:dyDescent="0.3">
      <c r="A22" t="str">
        <f>IF(Table4[[#This Row],[Break Type]]&lt;&gt;"No Break",Table4[[#This Row],[Trade ID]],"")</f>
        <v/>
      </c>
      <c r="B22" t="str">
        <f>IF(Table4[[#This Row],[Break Type]]&lt;&gt;"No Break",Table4[[#This Row],[Break Type]],"")</f>
        <v/>
      </c>
      <c r="C22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2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2" t="str">
        <f>IF(Table1[[#This Row],[Trade ID]]="","","Open")</f>
        <v/>
      </c>
    </row>
    <row r="23" spans="1:5" hidden="1" x14ac:dyDescent="0.3">
      <c r="A23" t="str">
        <f>IF(Table4[[#This Row],[Break Type]]&lt;&gt;"No Break",Table4[[#This Row],[Trade ID]],"")</f>
        <v/>
      </c>
      <c r="B23" t="str">
        <f>IF(Table4[[#This Row],[Break Type]]&lt;&gt;"No Break",Table4[[#This Row],[Break Type]],"")</f>
        <v/>
      </c>
      <c r="C23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3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3" t="str">
        <f>IF(Table1[[#This Row],[Trade ID]]="","","Open")</f>
        <v/>
      </c>
    </row>
    <row r="24" spans="1:5" hidden="1" x14ac:dyDescent="0.3">
      <c r="A24" t="str">
        <f>IF(Table4[[#This Row],[Break Type]]&lt;&gt;"No Break",Table4[[#This Row],[Trade ID]],"")</f>
        <v/>
      </c>
      <c r="B24" t="str">
        <f>IF(Table4[[#This Row],[Break Type]]&lt;&gt;"No Break",Table4[[#This Row],[Break Type]],"")</f>
        <v/>
      </c>
      <c r="C24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4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4" t="str">
        <f>IF(Table1[[#This Row],[Trade ID]]="","","Open")</f>
        <v/>
      </c>
    </row>
    <row r="25" spans="1:5" hidden="1" x14ac:dyDescent="0.3">
      <c r="A25" t="str">
        <f>IF(Table4[[#This Row],[Break Type]]&lt;&gt;"No Break",Table4[[#This Row],[Trade ID]],"")</f>
        <v/>
      </c>
      <c r="B25" t="str">
        <f>IF(Table4[[#This Row],[Break Type]]&lt;&gt;"No Break",Table4[[#This Row],[Break Type]],"")</f>
        <v/>
      </c>
      <c r="C25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5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5" t="str">
        <f>IF(Table1[[#This Row],[Trade ID]]="","","Open")</f>
        <v/>
      </c>
    </row>
    <row r="26" spans="1:5" hidden="1" x14ac:dyDescent="0.3">
      <c r="A26" t="str">
        <f>IF(Table4[[#This Row],[Break Type]]&lt;&gt;"No Break",Table4[[#This Row],[Trade ID]],"")</f>
        <v/>
      </c>
      <c r="B26" t="str">
        <f>IF(Table4[[#This Row],[Break Type]]&lt;&gt;"No Break",Table4[[#This Row],[Break Type]],"")</f>
        <v/>
      </c>
      <c r="C26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6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6" t="str">
        <f>IF(Table1[[#This Row],[Trade ID]]="","","Open")</f>
        <v/>
      </c>
    </row>
    <row r="27" spans="1:5" hidden="1" x14ac:dyDescent="0.3">
      <c r="A27" t="str">
        <f>IF(Table4[[#This Row],[Break Type]]&lt;&gt;"No Break",Table4[[#This Row],[Trade ID]],"")</f>
        <v/>
      </c>
      <c r="B27" t="str">
        <f>IF(Table4[[#This Row],[Break Type]]&lt;&gt;"No Break",Table4[[#This Row],[Break Type]],"")</f>
        <v/>
      </c>
      <c r="C27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7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7" t="str">
        <f>IF(Table1[[#This Row],[Trade ID]]="","","Open")</f>
        <v/>
      </c>
    </row>
    <row r="28" spans="1:5" hidden="1" x14ac:dyDescent="0.3">
      <c r="A28" t="str">
        <f>IF(Table4[[#This Row],[Break Type]]&lt;&gt;"No Break",Table4[[#This Row],[Trade ID]],"")</f>
        <v/>
      </c>
      <c r="B28" t="str">
        <f>IF(Table4[[#This Row],[Break Type]]&lt;&gt;"No Break",Table4[[#This Row],[Break Type]],"")</f>
        <v/>
      </c>
      <c r="C28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28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28" t="str">
        <f>IF(Table1[[#This Row],[Trade ID]]="","","Open")</f>
        <v/>
      </c>
    </row>
    <row r="29" spans="1:5" x14ac:dyDescent="0.3">
      <c r="A29" t="str">
        <f>IF(Table4[[#This Row],[Break Type]]&lt;&gt;"No Break",Table4[[#This Row],[Trade ID]],"")</f>
        <v>T027</v>
      </c>
      <c r="B29" t="str">
        <f>IF(Table4[[#This Row],[Break Type]]&lt;&gt;"No Break",Table4[[#This Row],[Break Type]],"")</f>
        <v>Price Break</v>
      </c>
      <c r="C29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>Price mismatch between Internal Trade and Broker</v>
      </c>
      <c r="D29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>Check price with brocker</v>
      </c>
      <c r="E29" t="str">
        <f>IF(Table1[[#This Row],[Trade ID]]="","","Open")</f>
        <v>Open</v>
      </c>
    </row>
    <row r="30" spans="1:5" hidden="1" x14ac:dyDescent="0.3">
      <c r="A30" t="str">
        <f>IF(Table4[[#This Row],[Break Type]]&lt;&gt;"No Break",Table4[[#This Row],[Trade ID]],"")</f>
        <v/>
      </c>
      <c r="B30" t="str">
        <f>IF(Table4[[#This Row],[Break Type]]&lt;&gt;"No Break",Table4[[#This Row],[Break Type]],"")</f>
        <v/>
      </c>
      <c r="C30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30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30" t="str">
        <f>IF(Table1[[#This Row],[Trade ID]]="","","Open")</f>
        <v/>
      </c>
    </row>
    <row r="31" spans="1:5" hidden="1" x14ac:dyDescent="0.3">
      <c r="A31" t="str">
        <f>IF(Table4[[#This Row],[Break Type]]&lt;&gt;"No Break",Table4[[#This Row],[Trade ID]],"")</f>
        <v/>
      </c>
      <c r="B31" t="str">
        <f>IF(Table4[[#This Row],[Break Type]]&lt;&gt;"No Break",Table4[[#This Row],[Break Type]],"")</f>
        <v/>
      </c>
      <c r="C31" t="str">
        <f>IF(Table1[[#This Row],[Break Type]]="Quantity Break","Quantity mismatch between Internal Trade and Broker",IF(Table1[[#This Row],[Break Type]]="Price Break","Price mismatch between Internal Trade and Broker",IF(Table1[[#This Row],[Break Type]]="Missing Trade","Trade missing in broker data","")))</f>
        <v/>
      </c>
      <c r="D31" t="str">
        <f>IF(Table1[[#This Row],[Break Type]]="Quantity Break","Confirm quantity with broker",IF(Table1[[#This Row],[Break Type]]="Price Break","Check price with brocker",IF(Table1[[#This Row],[Break Type]]="Missing Trade","contact broker to confirm Trade","")))</f>
        <v/>
      </c>
      <c r="E31" t="str">
        <f>IF(Table1[[#This Row],[Trade ID]]="","","Open")</f>
        <v/>
      </c>
    </row>
    <row r="37" spans="1:6" ht="43.2" x14ac:dyDescent="0.3">
      <c r="A37" s="4" t="s">
        <v>100</v>
      </c>
      <c r="B37" s="4" t="s">
        <v>101</v>
      </c>
      <c r="D37" s="4" t="s">
        <v>94</v>
      </c>
      <c r="E37" s="4" t="s">
        <v>109</v>
      </c>
      <c r="F37" s="4" t="s">
        <v>110</v>
      </c>
    </row>
    <row r="38" spans="1:6" ht="28.8" x14ac:dyDescent="0.3">
      <c r="A38" s="7" t="s">
        <v>102</v>
      </c>
      <c r="B38" s="7">
        <f>COUNTA(Table4[Trade ID])</f>
        <v>31</v>
      </c>
      <c r="D38" s="7" t="s">
        <v>104</v>
      </c>
      <c r="E38" s="7">
        <v>3</v>
      </c>
      <c r="F38" s="11">
        <v>9.7000000000000003E-2</v>
      </c>
    </row>
    <row r="39" spans="1:6" ht="28.8" x14ac:dyDescent="0.3">
      <c r="A39" s="7" t="s">
        <v>103</v>
      </c>
      <c r="B39" s="7">
        <f>COUNTIF(Table4[],"Break")</f>
        <v>5</v>
      </c>
      <c r="D39" s="7" t="s">
        <v>105</v>
      </c>
      <c r="E39" s="7">
        <v>3</v>
      </c>
      <c r="F39" s="11">
        <v>9.7000000000000003E-2</v>
      </c>
    </row>
    <row r="40" spans="1:6" ht="28.8" x14ac:dyDescent="0.3">
      <c r="A40" s="7" t="s">
        <v>104</v>
      </c>
      <c r="B40" s="7">
        <f>COUNTIF(Table4[Qty Match],"&lt;&gt;Match")</f>
        <v>3</v>
      </c>
      <c r="D40" s="7" t="s">
        <v>106</v>
      </c>
      <c r="E40" s="7">
        <v>1</v>
      </c>
      <c r="F40" s="11">
        <v>3.2000000000000001E-2</v>
      </c>
    </row>
    <row r="41" spans="1:6" ht="28.8" x14ac:dyDescent="0.3">
      <c r="A41" s="7" t="s">
        <v>105</v>
      </c>
      <c r="B41" s="7">
        <f>COUNTIF(Table4[Price Match],"&lt;&gt;Match")</f>
        <v>3</v>
      </c>
    </row>
    <row r="42" spans="1:6" ht="28.8" x14ac:dyDescent="0.3">
      <c r="A42" s="7" t="s">
        <v>106</v>
      </c>
      <c r="B42" s="7">
        <f>COUNTIF(Table4[[Internal Qty]:[Broker Qty]],"Missing")</f>
        <v>1</v>
      </c>
    </row>
    <row r="43" spans="1:6" x14ac:dyDescent="0.3">
      <c r="A43" s="7" t="s">
        <v>107</v>
      </c>
      <c r="B43" s="8">
        <f>B39/B38</f>
        <v>0.16129032258064516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Dashboards</vt:lpstr>
      <vt:lpstr>Readme Summary</vt:lpstr>
      <vt:lpstr>Internal Trade Data</vt:lpstr>
      <vt:lpstr>Broker Trade Data</vt:lpstr>
      <vt:lpstr>Reconciliation</vt:lpstr>
      <vt:lpstr>Break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Aniketh Moparthi</dc:creator>
  <cp:lastModifiedBy>Aniketh Moparthi</cp:lastModifiedBy>
  <dcterms:created xsi:type="dcterms:W3CDTF">2026-04-29T13:46:01Z</dcterms:created>
  <dcterms:modified xsi:type="dcterms:W3CDTF">2026-05-07T00:35:33Z</dcterms:modified>
</cp:coreProperties>
</file>